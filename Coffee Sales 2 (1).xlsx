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theintelligentworker-my.sharepoint.com/personal/henry_habib_theintelligentworker_com/Documents/"/>
    </mc:Choice>
  </mc:AlternateContent>
  <xr:revisionPtr revIDLastSave="444" documentId="13_ncr:40009_{72828236-9EE1-4901-983A-9432B199AA87}" xr6:coauthVersionLast="47" xr6:coauthVersionMax="47" xr10:uidLastSave="{D23B5FF8-95C4-4C36-8CB1-6F03AF90F264}"/>
  <bookViews>
    <workbookView xWindow="28680" yWindow="-120" windowWidth="29040" windowHeight="15840" firstSheet="7" xr2:uid="{00000000-000D-0000-FFFF-FFFF00000000}"/>
  </bookViews>
  <sheets>
    <sheet name="fake_coffee_sales_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</sheets>
  <calcPr calcId="191028"/>
  <pivotCaches>
    <pivotCache cacheId="107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<sst xmlns="http://schemas.openxmlformats.org/spreadsheetml/2006/main" count="274" uniqueCount="26">
  <si>
    <t>Store</t>
  </si>
  <si>
    <t>Coffee Product</t>
  </si>
  <si>
    <t>Year</t>
  </si>
  <si>
    <t>Number of Customers</t>
  </si>
  <si>
    <t>Sales</t>
  </si>
  <si>
    <t>Cost</t>
  </si>
  <si>
    <t>Rating</t>
  </si>
  <si>
    <t>Profit</t>
  </si>
  <si>
    <t>Spike Ratio</t>
  </si>
  <si>
    <t>Margin</t>
  </si>
  <si>
    <t>Store A</t>
  </si>
  <si>
    <t>Mocha</t>
  </si>
  <si>
    <t>Cappuccino</t>
  </si>
  <si>
    <t>Latte</t>
  </si>
  <si>
    <t>Espresso</t>
  </si>
  <si>
    <t>Store B</t>
  </si>
  <si>
    <t>Store C</t>
  </si>
  <si>
    <t>Store D</t>
  </si>
  <si>
    <t>Store E</t>
  </si>
  <si>
    <t>Sum of Sales</t>
  </si>
  <si>
    <t>Grand Total</t>
  </si>
  <si>
    <t>Average of Rating</t>
  </si>
  <si>
    <t>Sum of Cost</t>
  </si>
  <si>
    <t>Sum of Profit</t>
  </si>
  <si>
    <t>PivotTable sources for charts</t>
  </si>
  <si>
    <t>Average of Spike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</si>
</sst>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000000"/>
      <name val="Calibri"/>
    </font>
    <font>
      <sz val="11"/>
      <color rgb="FF59595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164" fontId="0" fillId="0" borderId="0" xfId="42" applyFont="1"/>
    <xf numFmtId="165" fontId="0" fillId="0" borderId="0" xfId="42" applyNumberFormat="1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0" fontId="0" fillId="0" borderId="0" xfId="0" pivotButton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33" borderId="0" xfId="0" applyFill="1"/>
    <xf numFmtId="0" fontId="19" fillId="33" borderId="0" xfId="0" applyFont="1" applyFill="1" applyAlignment="1">
      <alignment vertical="center"/>
    </xf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165" formatCode="_-* #,##0_-;\-* #,##0_-;_-* &quot;-&quot;??_-;_-@_-"/>
    </dxf>
    <dxf>
      <numFmt numFmtId="2" formatCode="0.0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0000"/>
      </font>
      <fill>
        <patternFill patternType="solid">
          <fgColor indexed="64"/>
          <bgColor rgb="FFFFEF9C"/>
        </patternFill>
      </fill>
    </dxf>
    <dxf>
      <font>
        <color rgb="FF000000"/>
      </font>
      <fill>
        <patternFill patternType="solid">
          <fgColor indexed="64"/>
          <bgColor rgb="FFFFEF9C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2.xlsx]Sheet4!PivotTable4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'Cost'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Sheet4!$D$4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Sheet4!$D$5:$D$10</c:f>
              <c:numCache>
                <c:formatCode>_-* #,##0_-;\-* #,##0_-;_-* "-"??_-;_-@_-</c:formatCode>
                <c:ptCount val="5"/>
                <c:pt idx="0">
                  <c:v>13885.834608323568</c:v>
                </c:pt>
                <c:pt idx="1">
                  <c:v>7342.6954969071703</c:v>
                </c:pt>
                <c:pt idx="2">
                  <c:v>7585.7876222160794</c:v>
                </c:pt>
                <c:pt idx="3">
                  <c:v>9624.760879940286</c:v>
                </c:pt>
                <c:pt idx="4">
                  <c:v>9780.0274305314142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9-4927-9AA8-F1DBAB1C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095920"/>
        <c:axId val="915597872"/>
      </c:lineChart>
      <c:catAx>
        <c:axId val="104309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97872"/>
        <c:crosses val="autoZero"/>
        <c:auto val="1"/>
        <c:lblAlgn val="ctr"/>
        <c:lblOffset val="100"/>
        <c:noMultiLvlLbl val="0"/>
      </c:catAx>
      <c:valAx>
        <c:axId val="91559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95920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2.xlsx]Sheet5!PivotTable5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'Cost' by 'Year' and 'Store'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Sheet5!$D$4:$D$5</c:f>
              <c:strCache>
                <c:ptCount val="1"/>
                <c:pt idx="0">
                  <c:v>Store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Sheet5!$D$6:$D$11</c:f>
              <c:numCache>
                <c:formatCode>_-* #,##0_-;\-* #,##0_-;_-* "-"??_-;_-@_-</c:formatCode>
                <c:ptCount val="5"/>
                <c:pt idx="0">
                  <c:v>13885.834608323568</c:v>
                </c:pt>
                <c:pt idx="1">
                  <c:v>7342.6954969071703</c:v>
                </c:pt>
                <c:pt idx="2">
                  <c:v>7585.7876222160785</c:v>
                </c:pt>
                <c:pt idx="3">
                  <c:v>9624.760879940286</c:v>
                </c:pt>
                <c:pt idx="4">
                  <c:v>9780.0274305314142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6-416A-8AF6-A7F3A5999B0D}"/>
            </c:ext>
          </c:extLst>
        </c:ser>
        <c:ser>
          <c:idx val="1"/>
          <c:order val="1"/>
          <c:tx>
            <c:strRef>
              <c:f>Sheet5!$E$4:$E$5</c:f>
              <c:strCache>
                <c:ptCount val="1"/>
                <c:pt idx="0">
                  <c:v>Store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Sheet5!$E$6:$E$11</c:f>
              <c:numCache>
                <c:formatCode>_-* #,##0_-;\-* #,##0_-;_-* "-"??_-;_-@_-</c:formatCode>
                <c:ptCount val="5"/>
                <c:pt idx="0">
                  <c:v>6486.116718295415</c:v>
                </c:pt>
                <c:pt idx="1">
                  <c:v>9326.8247483640771</c:v>
                </c:pt>
                <c:pt idx="2">
                  <c:v>7385.8209926318705</c:v>
                </c:pt>
                <c:pt idx="3">
                  <c:v>8903.8812488425901</c:v>
                </c:pt>
                <c:pt idx="4">
                  <c:v>11689.22081429874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6-416A-8AF6-A7F3A5999B0D}"/>
            </c:ext>
          </c:extLst>
        </c:ser>
        <c:ser>
          <c:idx val="2"/>
          <c:order val="2"/>
          <c:tx>
            <c:strRef>
              <c:f>Sheet5!$F$4:$F$5</c:f>
              <c:strCache>
                <c:ptCount val="1"/>
                <c:pt idx="0">
                  <c:v>Store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Sheet5!$F$6:$F$11</c:f>
              <c:numCache>
                <c:formatCode>_-* #,##0_-;\-* #,##0_-;_-* "-"??_-;_-@_-</c:formatCode>
                <c:ptCount val="5"/>
                <c:pt idx="0">
                  <c:v>15114.750208141848</c:v>
                </c:pt>
                <c:pt idx="1">
                  <c:v>9021.8542131882168</c:v>
                </c:pt>
                <c:pt idx="2">
                  <c:v>7380.1166326573893</c:v>
                </c:pt>
                <c:pt idx="3">
                  <c:v>10969.167324120679</c:v>
                </c:pt>
                <c:pt idx="4">
                  <c:v>9212.1293252896503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6-416A-8AF6-A7F3A5999B0D}"/>
            </c:ext>
          </c:extLst>
        </c:ser>
        <c:ser>
          <c:idx val="3"/>
          <c:order val="3"/>
          <c:tx>
            <c:strRef>
              <c:f>Sheet5!$G$4:$G$5</c:f>
              <c:strCache>
                <c:ptCount val="1"/>
                <c:pt idx="0">
                  <c:v>Store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Sheet5!$G$6:$G$11</c:f>
              <c:numCache>
                <c:formatCode>_-* #,##0_-;\-* #,##0_-;_-* "-"??_-;_-@_-</c:formatCode>
                <c:ptCount val="5"/>
                <c:pt idx="0">
                  <c:v>13106.14393047386</c:v>
                </c:pt>
                <c:pt idx="1">
                  <c:v>8028.4067957118441</c:v>
                </c:pt>
                <c:pt idx="2">
                  <c:v>12878.468254699519</c:v>
                </c:pt>
                <c:pt idx="3">
                  <c:v>11883.526083606688</c:v>
                </c:pt>
                <c:pt idx="4">
                  <c:v>12027.526939792369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6-416A-8AF6-A7F3A5999B0D}"/>
            </c:ext>
          </c:extLst>
        </c:ser>
        <c:ser>
          <c:idx val="4"/>
          <c:order val="4"/>
          <c:tx>
            <c:strRef>
              <c:f>Sheet5!$H$4:$H$5</c:f>
              <c:strCache>
                <c:ptCount val="1"/>
                <c:pt idx="0">
                  <c:v>Store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Sheet5!$C$6:$C$11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Sheet5!$H$6:$H$11</c:f>
              <c:numCache>
                <c:formatCode>_-* #,##0_-;\-* #,##0_-;_-* "-"??_-;_-@_-</c:formatCode>
                <c:ptCount val="5"/>
                <c:pt idx="0">
                  <c:v>11062.437478134611</c:v>
                </c:pt>
                <c:pt idx="1">
                  <c:v>9849.3805758771905</c:v>
                </c:pt>
                <c:pt idx="2">
                  <c:v>11315.05924517874</c:v>
                </c:pt>
                <c:pt idx="3">
                  <c:v>12825.40088670904</c:v>
                </c:pt>
                <c:pt idx="4">
                  <c:v>8175.1214263965712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6-416A-8AF6-A7F3A599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032831"/>
        <c:axId val="916555408"/>
      </c:lineChart>
      <c:catAx>
        <c:axId val="51703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55408"/>
        <c:crosses val="autoZero"/>
        <c:auto val="1"/>
        <c:lblAlgn val="ctr"/>
        <c:lblOffset val="100"/>
        <c:noMultiLvlLbl val="0"/>
      </c:catAx>
      <c:valAx>
        <c:axId val="9165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3283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2.xlsx]Sheet6!PivotTable6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and 'Cost' by 'Year'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Sheet6!$D$4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Sheet6!$D$5:$D$10</c:f>
              <c:numCache>
                <c:formatCode>_-* #,##0_-;\-* #,##0_-;_-* "-"??_-;_-@_-</c:formatCode>
                <c:ptCount val="5"/>
                <c:pt idx="0">
                  <c:v>119878.77838299847</c:v>
                </c:pt>
                <c:pt idx="1">
                  <c:v>96713.409606659217</c:v>
                </c:pt>
                <c:pt idx="2">
                  <c:v>105830.52226643142</c:v>
                </c:pt>
                <c:pt idx="3">
                  <c:v>115393.14669148678</c:v>
                </c:pt>
                <c:pt idx="4">
                  <c:v>112128.05762836877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D-4C12-B6B6-B76900FD944B}"/>
            </c:ext>
          </c:extLst>
        </c:ser>
        <c:ser>
          <c:idx val="1"/>
          <c:order val="1"/>
          <c:tx>
            <c:strRef>
              <c:f>Sheet6!$E$4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Sheet6!$C$5:$C$10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Sheet6!$E$5:$E$10</c:f>
              <c:numCache>
                <c:formatCode>_-* #,##0_-;\-* #,##0_-;_-* "-"??_-;_-@_-</c:formatCode>
                <c:ptCount val="5"/>
                <c:pt idx="0">
                  <c:v>59655.28294336929</c:v>
                </c:pt>
                <c:pt idx="1">
                  <c:v>43569.161830048499</c:v>
                </c:pt>
                <c:pt idx="2">
                  <c:v>46545.252747383594</c:v>
                </c:pt>
                <c:pt idx="3">
                  <c:v>54206.736423219299</c:v>
                </c:pt>
                <c:pt idx="4">
                  <c:v>50884.025936308746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D-4C12-B6B6-B76900FD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116194208"/>
        <c:axId val="1262365824"/>
      </c:barChart>
      <c:catAx>
        <c:axId val="111619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65824"/>
        <c:crosses val="autoZero"/>
        <c:auto val="1"/>
        <c:lblAlgn val="ctr"/>
        <c:lblOffset val="100"/>
        <c:noMultiLvlLbl val="0"/>
      </c:catAx>
      <c:valAx>
        <c:axId val="12623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942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 and 'Spike Ratio'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fake_coffee_sales_data!I1</c:f>
              <c:strCache>
                <c:ptCount val="1"/>
                <c:pt idx="0">
                  <c:v>Spike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688-4CA6-978C-CDAD6B65FECA}"/>
              </c:ext>
            </c:extLst>
          </c:dPt>
          <c:xVal>
            <c:numRef>
              <c:f>fake_coffee_sales_data!$E$2:$E$101</c:f>
              <c:numCache>
                <c:formatCode>_-* #,##0_-;\-* #,##0_-;_-* "-"??_-;_-@_-</c:formatCode>
                <c:ptCount val="100"/>
                <c:pt idx="0">
                  <c:v>9316.3758319668905</c:v>
                </c:pt>
                <c:pt idx="1">
                  <c:v>8814.7099633202797</c:v>
                </c:pt>
                <c:pt idx="2">
                  <c:v>7190.0624538647398</c:v>
                </c:pt>
                <c:pt idx="3">
                  <c:v>2158.7355846967898</c:v>
                </c:pt>
                <c:pt idx="4">
                  <c:v>7746.5460880772798</c:v>
                </c:pt>
                <c:pt idx="5">
                  <c:v>1561.07226260117</c:v>
                </c:pt>
                <c:pt idx="6">
                  <c:v>1943.8224987923199</c:v>
                </c:pt>
                <c:pt idx="7">
                  <c:v>1802.8389584085</c:v>
                </c:pt>
                <c:pt idx="8">
                  <c:v>4195.9387295137403</c:v>
                </c:pt>
                <c:pt idx="9">
                  <c:v>9403.2264138388691</c:v>
                </c:pt>
                <c:pt idx="10">
                  <c:v>6019.6803935539301</c:v>
                </c:pt>
                <c:pt idx="11">
                  <c:v>9096.8265743051106</c:v>
                </c:pt>
                <c:pt idx="12">
                  <c:v>8657.3576605253093</c:v>
                </c:pt>
                <c:pt idx="13">
                  <c:v>6183.9857602509401</c:v>
                </c:pt>
                <c:pt idx="14">
                  <c:v>1464.7193008706099</c:v>
                </c:pt>
                <c:pt idx="15">
                  <c:v>7506.0648695959799</c:v>
                </c:pt>
                <c:pt idx="16">
                  <c:v>5554.9356072341197</c:v>
                </c:pt>
                <c:pt idx="17">
                  <c:v>8547.2430283236208</c:v>
                </c:pt>
                <c:pt idx="18">
                  <c:v>5088.4117499718895</c:v>
                </c:pt>
                <c:pt idx="19">
                  <c:v>7626.2246532863901</c:v>
                </c:pt>
                <c:pt idx="20">
                  <c:v>3970.8956197913899</c:v>
                </c:pt>
                <c:pt idx="21">
                  <c:v>5604.9131219253504</c:v>
                </c:pt>
                <c:pt idx="22">
                  <c:v>3125.0487980566299</c:v>
                </c:pt>
                <c:pt idx="23">
                  <c:v>1760.65306912613</c:v>
                </c:pt>
                <c:pt idx="24">
                  <c:v>7636.64685484437</c:v>
                </c:pt>
                <c:pt idx="25">
                  <c:v>5818.02007613971</c:v>
                </c:pt>
                <c:pt idx="26">
                  <c:v>6278.8189119468298</c:v>
                </c:pt>
                <c:pt idx="27">
                  <c:v>2329.6518271560399</c:v>
                </c:pt>
                <c:pt idx="28">
                  <c:v>6839.4055626241798</c:v>
                </c:pt>
                <c:pt idx="29">
                  <c:v>1274.2493746023399</c:v>
                </c:pt>
                <c:pt idx="30">
                  <c:v>1067.8092682066699</c:v>
                </c:pt>
                <c:pt idx="31">
                  <c:v>6467.9970006421499</c:v>
                </c:pt>
                <c:pt idx="32">
                  <c:v>1790.98862086129</c:v>
                </c:pt>
                <c:pt idx="33">
                  <c:v>8387.7532583801694</c:v>
                </c:pt>
                <c:pt idx="34">
                  <c:v>9256.5605177697798</c:v>
                </c:pt>
                <c:pt idx="35">
                  <c:v>1164.18233285524</c:v>
                </c:pt>
                <c:pt idx="36">
                  <c:v>9388.1290803123993</c:v>
                </c:pt>
                <c:pt idx="37">
                  <c:v>5937.4280614433701</c:v>
                </c:pt>
                <c:pt idx="38">
                  <c:v>2845.6980413451302</c:v>
                </c:pt>
                <c:pt idx="39">
                  <c:v>5768.5602086300496</c:v>
                </c:pt>
                <c:pt idx="40">
                  <c:v>6375.5027402988699</c:v>
                </c:pt>
                <c:pt idx="41">
                  <c:v>3894.2448821202602</c:v>
                </c:pt>
                <c:pt idx="42">
                  <c:v>2412.7991444457398</c:v>
                </c:pt>
                <c:pt idx="43">
                  <c:v>7839.5986804382701</c:v>
                </c:pt>
                <c:pt idx="44">
                  <c:v>8804.9348296725093</c:v>
                </c:pt>
                <c:pt idx="45">
                  <c:v>2640.5549062836199</c:v>
                </c:pt>
                <c:pt idx="46">
                  <c:v>3098.9477039482099</c:v>
                </c:pt>
                <c:pt idx="47">
                  <c:v>2198.0523572872999</c:v>
                </c:pt>
                <c:pt idx="48">
                  <c:v>3199.1783991818902</c:v>
                </c:pt>
                <c:pt idx="49">
                  <c:v>5316.2389157882499</c:v>
                </c:pt>
                <c:pt idx="50">
                  <c:v>6080.1268827037702</c:v>
                </c:pt>
                <c:pt idx="51">
                  <c:v>3027.9951794127501</c:v>
                </c:pt>
                <c:pt idx="52">
                  <c:v>1047.70005757844</c:v>
                </c:pt>
                <c:pt idx="53">
                  <c:v>7466.1154375289798</c:v>
                </c:pt>
                <c:pt idx="54">
                  <c:v>8252.7839806702905</c:v>
                </c:pt>
                <c:pt idx="55">
                  <c:v>7272.6531612977897</c:v>
                </c:pt>
                <c:pt idx="56">
                  <c:v>7365.0708608000004</c:v>
                </c:pt>
                <c:pt idx="57">
                  <c:v>5940.2978190007898</c:v>
                </c:pt>
                <c:pt idx="58">
                  <c:v>3885.7797294356201</c:v>
                </c:pt>
                <c:pt idx="59">
                  <c:v>9711.9465985380994</c:v>
                </c:pt>
                <c:pt idx="60">
                  <c:v>1830.6152760587099</c:v>
                </c:pt>
                <c:pt idx="61">
                  <c:v>4395.5736871786503</c:v>
                </c:pt>
                <c:pt idx="62">
                  <c:v>9876.3129628013303</c:v>
                </c:pt>
                <c:pt idx="63">
                  <c:v>5781.3917857617998</c:v>
                </c:pt>
                <c:pt idx="64">
                  <c:v>7184.4895486299802</c:v>
                </c:pt>
                <c:pt idx="65">
                  <c:v>4187.3200371381199</c:v>
                </c:pt>
                <c:pt idx="66">
                  <c:v>6075.6858281695204</c:v>
                </c:pt>
                <c:pt idx="67">
                  <c:v>4086.3417785043398</c:v>
                </c:pt>
                <c:pt idx="68">
                  <c:v>6257.7953624275196</c:v>
                </c:pt>
                <c:pt idx="69">
                  <c:v>4408.9536335616003</c:v>
                </c:pt>
                <c:pt idx="70">
                  <c:v>5484.2292806404603</c:v>
                </c:pt>
                <c:pt idx="71">
                  <c:v>4288.2113770665101</c:v>
                </c:pt>
                <c:pt idx="72">
                  <c:v>9775.60446650628</c:v>
                </c:pt>
                <c:pt idx="73">
                  <c:v>1500.8814042127699</c:v>
                </c:pt>
                <c:pt idx="74">
                  <c:v>9975.2998129155494</c:v>
                </c:pt>
                <c:pt idx="75">
                  <c:v>5815.3305884041902</c:v>
                </c:pt>
                <c:pt idx="76">
                  <c:v>7910.0155129855402</c:v>
                </c:pt>
                <c:pt idx="77">
                  <c:v>7398.5723095307303</c:v>
                </c:pt>
                <c:pt idx="78">
                  <c:v>6344.9478780210802</c:v>
                </c:pt>
                <c:pt idx="79">
                  <c:v>2815.5741609721199</c:v>
                </c:pt>
                <c:pt idx="80">
                  <c:v>5330.3085465066297</c:v>
                </c:pt>
                <c:pt idx="81">
                  <c:v>7484.6445525231802</c:v>
                </c:pt>
                <c:pt idx="82">
                  <c:v>5829.3158138859899</c:v>
                </c:pt>
                <c:pt idx="83">
                  <c:v>1023.35521945281</c:v>
                </c:pt>
                <c:pt idx="84">
                  <c:v>4574.4744925367404</c:v>
                </c:pt>
                <c:pt idx="85">
                  <c:v>8566.3898729013799</c:v>
                </c:pt>
                <c:pt idx="86">
                  <c:v>5265.7294728750003</c:v>
                </c:pt>
                <c:pt idx="87">
                  <c:v>8599.9660537026502</c:v>
                </c:pt>
                <c:pt idx="88">
                  <c:v>5390.2882072786397</c:v>
                </c:pt>
                <c:pt idx="89">
                  <c:v>4037.0215048472601</c:v>
                </c:pt>
                <c:pt idx="90">
                  <c:v>7631.4022785542102</c:v>
                </c:pt>
                <c:pt idx="91">
                  <c:v>3973.1363315282201</c:v>
                </c:pt>
                <c:pt idx="92">
                  <c:v>5416.7390133290601</c:v>
                </c:pt>
                <c:pt idx="93">
                  <c:v>5289.5753571376999</c:v>
                </c:pt>
                <c:pt idx="94">
                  <c:v>9069.4923667661806</c:v>
                </c:pt>
                <c:pt idx="95">
                  <c:v>8580.8263176836299</c:v>
                </c:pt>
                <c:pt idx="96">
                  <c:v>4323.0743335890602</c:v>
                </c:pt>
                <c:pt idx="97">
                  <c:v>1785.6116163070701</c:v>
                </c:pt>
                <c:pt idx="98">
                  <c:v>7161.1439309184998</c:v>
                </c:pt>
                <c:pt idx="99">
                  <c:v>2795.5623460448701</c:v>
                </c:pt>
              </c:numCache>
            </c:numRef>
          </c:xVal>
          <c:yVal>
            <c:numRef>
              <c:f>fake_coffee_sales_data!$I$2:$I$101</c:f>
              <c:numCache>
                <c:formatCode>0.00</c:formatCode>
                <c:ptCount val="100"/>
                <c:pt idx="0">
                  <c:v>5.8755152731050382</c:v>
                </c:pt>
                <c:pt idx="1">
                  <c:v>17.161055023483069</c:v>
                </c:pt>
                <c:pt idx="2">
                  <c:v>3.8669856861402598</c:v>
                </c:pt>
                <c:pt idx="3">
                  <c:v>10.667623911814522</c:v>
                </c:pt>
                <c:pt idx="4">
                  <c:v>4.1722596534847494</c:v>
                </c:pt>
                <c:pt idx="5">
                  <c:v>0.79219108863915655</c:v>
                </c:pt>
                <c:pt idx="6">
                  <c:v>2.7415333397603368</c:v>
                </c:pt>
                <c:pt idx="7">
                  <c:v>1.6330392666686493</c:v>
                </c:pt>
                <c:pt idx="8">
                  <c:v>13.866319511671392</c:v>
                </c:pt>
                <c:pt idx="9">
                  <c:v>12.704069144385588</c:v>
                </c:pt>
                <c:pt idx="10">
                  <c:v>5.2338163143075995</c:v>
                </c:pt>
                <c:pt idx="11">
                  <c:v>23.243991662589409</c:v>
                </c:pt>
                <c:pt idx="12">
                  <c:v>3.7263872871448869</c:v>
                </c:pt>
                <c:pt idx="13">
                  <c:v>5.57850766861403</c:v>
                </c:pt>
                <c:pt idx="14">
                  <c:v>0.77028623508744454</c:v>
                </c:pt>
                <c:pt idx="15">
                  <c:v>3.9010127313302698</c:v>
                </c:pt>
                <c:pt idx="16">
                  <c:v>2.9891761305714373</c:v>
                </c:pt>
                <c:pt idx="17">
                  <c:v>31.421885988045506</c:v>
                </c:pt>
                <c:pt idx="18">
                  <c:v>9.3918335317237318</c:v>
                </c:pt>
                <c:pt idx="19">
                  <c:v>54.967678648174328</c:v>
                </c:pt>
                <c:pt idx="20">
                  <c:v>8.6599616520698213</c:v>
                </c:pt>
                <c:pt idx="21">
                  <c:v>4.5159376343566811</c:v>
                </c:pt>
                <c:pt idx="22">
                  <c:v>6.7946872358502963</c:v>
                </c:pt>
                <c:pt idx="23">
                  <c:v>1.7903424381976834</c:v>
                </c:pt>
                <c:pt idx="24">
                  <c:v>9.723750616145086</c:v>
                </c:pt>
                <c:pt idx="25">
                  <c:v>3.4667863659654077</c:v>
                </c:pt>
                <c:pt idx="26">
                  <c:v>6.6321480491845444</c:v>
                </c:pt>
                <c:pt idx="27">
                  <c:v>1.0302761245988505</c:v>
                </c:pt>
                <c:pt idx="28">
                  <c:v>5.2325063434851895</c:v>
                </c:pt>
                <c:pt idx="29">
                  <c:v>1.0160727539161611</c:v>
                </c:pt>
                <c:pt idx="30">
                  <c:v>3.4570254213828129</c:v>
                </c:pt>
                <c:pt idx="31">
                  <c:v>5.1485714938877205</c:v>
                </c:pt>
                <c:pt idx="32">
                  <c:v>6.383953222407353</c:v>
                </c:pt>
                <c:pt idx="33">
                  <c:v>11.029626958210509</c:v>
                </c:pt>
                <c:pt idx="34">
                  <c:v>7.3561253008092891</c:v>
                </c:pt>
                <c:pt idx="35">
                  <c:v>3.2936508052923816</c:v>
                </c:pt>
                <c:pt idx="36">
                  <c:v>7.5432440186578766</c:v>
                </c:pt>
                <c:pt idx="37">
                  <c:v>7.2958813936056188</c:v>
                </c:pt>
                <c:pt idx="38">
                  <c:v>2.5469004914747475</c:v>
                </c:pt>
                <c:pt idx="39">
                  <c:v>6.8609339150139821</c:v>
                </c:pt>
                <c:pt idx="40">
                  <c:v>2.0394594495174263</c:v>
                </c:pt>
                <c:pt idx="41">
                  <c:v>6.3731915012522746</c:v>
                </c:pt>
                <c:pt idx="42">
                  <c:v>2.4917252916504018</c:v>
                </c:pt>
                <c:pt idx="43">
                  <c:v>11.675926277681612</c:v>
                </c:pt>
                <c:pt idx="44">
                  <c:v>5.8996896800575254</c:v>
                </c:pt>
                <c:pt idx="45">
                  <c:v>3.4891821950262263</c:v>
                </c:pt>
                <c:pt idx="46">
                  <c:v>9.4074796882563891</c:v>
                </c:pt>
                <c:pt idx="47">
                  <c:v>2.1027147488645679</c:v>
                </c:pt>
                <c:pt idx="48">
                  <c:v>1.1036018171845361</c:v>
                </c:pt>
                <c:pt idx="49">
                  <c:v>2.8128456630477374</c:v>
                </c:pt>
                <c:pt idx="50">
                  <c:v>4.9289925544777375</c:v>
                </c:pt>
                <c:pt idx="51">
                  <c:v>2.4973003811869519</c:v>
                </c:pt>
                <c:pt idx="52">
                  <c:v>0.65995700604741014</c:v>
                </c:pt>
                <c:pt idx="53">
                  <c:v>3.1235127745476241</c:v>
                </c:pt>
                <c:pt idx="54">
                  <c:v>5.1029009683791058</c:v>
                </c:pt>
                <c:pt idx="55">
                  <c:v>8.1501330749657068</c:v>
                </c:pt>
                <c:pt idx="56">
                  <c:v>4.5777865819461745</c:v>
                </c:pt>
                <c:pt idx="57">
                  <c:v>10.163108262601595</c:v>
                </c:pt>
                <c:pt idx="58">
                  <c:v>3.2698969029319001</c:v>
                </c:pt>
                <c:pt idx="59">
                  <c:v>31.889168137218064</c:v>
                </c:pt>
                <c:pt idx="60">
                  <c:v>1.6298672533134728</c:v>
                </c:pt>
                <c:pt idx="61">
                  <c:v>1.9015488806450234</c:v>
                </c:pt>
                <c:pt idx="62">
                  <c:v>10.175360935343885</c:v>
                </c:pt>
                <c:pt idx="63">
                  <c:v>2.9464417509136736</c:v>
                </c:pt>
                <c:pt idx="64">
                  <c:v>25.77654466603056</c:v>
                </c:pt>
                <c:pt idx="65">
                  <c:v>3.9665577976425466</c:v>
                </c:pt>
                <c:pt idx="66">
                  <c:v>5.1114244980577075</c:v>
                </c:pt>
                <c:pt idx="67">
                  <c:v>3.7299223135600603</c:v>
                </c:pt>
                <c:pt idx="68">
                  <c:v>15.426282208877298</c:v>
                </c:pt>
                <c:pt idx="69">
                  <c:v>2.619844137495734</c:v>
                </c:pt>
                <c:pt idx="70">
                  <c:v>15.290840879153292</c:v>
                </c:pt>
                <c:pt idx="71">
                  <c:v>13.377043950565353</c:v>
                </c:pt>
                <c:pt idx="72">
                  <c:v>13.306291079569737</c:v>
                </c:pt>
                <c:pt idx="73">
                  <c:v>1.2026535455913936</c:v>
                </c:pt>
                <c:pt idx="74">
                  <c:v>8.973277868743148</c:v>
                </c:pt>
                <c:pt idx="75">
                  <c:v>19.043325915119532</c:v>
                </c:pt>
                <c:pt idx="76">
                  <c:v>5.0996664798685147</c:v>
                </c:pt>
                <c:pt idx="77">
                  <c:v>5.071025610363268</c:v>
                </c:pt>
                <c:pt idx="78">
                  <c:v>4.9175045765207024</c:v>
                </c:pt>
                <c:pt idx="79">
                  <c:v>14.522081357173025</c:v>
                </c:pt>
                <c:pt idx="80">
                  <c:v>3.4839743787851738</c:v>
                </c:pt>
                <c:pt idx="81">
                  <c:v>3.3479652566702667</c:v>
                </c:pt>
                <c:pt idx="82">
                  <c:v>20.449029065547414</c:v>
                </c:pt>
                <c:pt idx="83">
                  <c:v>1.0870291378425028</c:v>
                </c:pt>
                <c:pt idx="84">
                  <c:v>3.8414607693195979</c:v>
                </c:pt>
                <c:pt idx="85">
                  <c:v>10.46342024685802</c:v>
                </c:pt>
                <c:pt idx="86">
                  <c:v>15.62374875121378</c:v>
                </c:pt>
                <c:pt idx="87">
                  <c:v>6.1817727453252589</c:v>
                </c:pt>
                <c:pt idx="88">
                  <c:v>3.5027958560225496</c:v>
                </c:pt>
                <c:pt idx="89">
                  <c:v>2.3444787455065197</c:v>
                </c:pt>
                <c:pt idx="90">
                  <c:v>17.085499114373498</c:v>
                </c:pt>
                <c:pt idx="91">
                  <c:v>3.2314101768653738</c:v>
                </c:pt>
                <c:pt idx="92">
                  <c:v>8.1418831406303074</c:v>
                </c:pt>
                <c:pt idx="93">
                  <c:v>4.7086448859687939</c:v>
                </c:pt>
                <c:pt idx="94">
                  <c:v>5.4064924574071576</c:v>
                </c:pt>
                <c:pt idx="95">
                  <c:v>17.389862765060993</c:v>
                </c:pt>
                <c:pt idx="96">
                  <c:v>2.4077703334669085</c:v>
                </c:pt>
                <c:pt idx="97">
                  <c:v>1.4409840870242987</c:v>
                </c:pt>
                <c:pt idx="98">
                  <c:v>4.2165279996973801</c:v>
                </c:pt>
                <c:pt idx="99">
                  <c:v>2.2995449096848977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7A3A1170-2303-4EE8-9C94-7E0773B1D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66472"/>
        <c:axId val="536802312"/>
      </c:scatterChart>
      <c:valAx>
        <c:axId val="53676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02312"/>
        <c:crosses val="autoZero"/>
        <c:crossBetween val="midCat"/>
      </c:valAx>
      <c:valAx>
        <c:axId val="53680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6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'Spike Ratio' and 'Margin'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fake_coffee_sales_data!J1</c:f>
              <c:strCache>
                <c:ptCount val="1"/>
                <c:pt idx="0">
                  <c:v>Margin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D63-42AE-91B9-27200BFE909F}"/>
              </c:ext>
            </c:extLst>
          </c:dPt>
          <c:xVal>
            <c:numRef>
              <c:f>fake_coffee_sales_data!$I$2:$I$101</c:f>
              <c:numCache>
                <c:formatCode>0.00</c:formatCode>
                <c:ptCount val="100"/>
                <c:pt idx="0">
                  <c:v>5.8755152731050382</c:v>
                </c:pt>
                <c:pt idx="1">
                  <c:v>17.161055023483069</c:v>
                </c:pt>
                <c:pt idx="2">
                  <c:v>3.8669856861402598</c:v>
                </c:pt>
                <c:pt idx="3">
                  <c:v>10.667623911814522</c:v>
                </c:pt>
                <c:pt idx="4">
                  <c:v>4.1722596534847494</c:v>
                </c:pt>
                <c:pt idx="5">
                  <c:v>0.79219108863915655</c:v>
                </c:pt>
                <c:pt idx="6">
                  <c:v>2.7415333397603368</c:v>
                </c:pt>
                <c:pt idx="7">
                  <c:v>1.6330392666686493</c:v>
                </c:pt>
                <c:pt idx="8">
                  <c:v>13.866319511671392</c:v>
                </c:pt>
                <c:pt idx="9">
                  <c:v>12.704069144385588</c:v>
                </c:pt>
                <c:pt idx="10">
                  <c:v>5.2338163143075995</c:v>
                </c:pt>
                <c:pt idx="11">
                  <c:v>23.243991662589409</c:v>
                </c:pt>
                <c:pt idx="12">
                  <c:v>3.7263872871448869</c:v>
                </c:pt>
                <c:pt idx="13">
                  <c:v>5.57850766861403</c:v>
                </c:pt>
                <c:pt idx="14">
                  <c:v>0.77028623508744454</c:v>
                </c:pt>
                <c:pt idx="15">
                  <c:v>3.9010127313302698</c:v>
                </c:pt>
                <c:pt idx="16">
                  <c:v>2.9891761305714373</c:v>
                </c:pt>
                <c:pt idx="17">
                  <c:v>31.421885988045506</c:v>
                </c:pt>
                <c:pt idx="18">
                  <c:v>9.3918335317237318</c:v>
                </c:pt>
                <c:pt idx="19">
                  <c:v>54.967678648174328</c:v>
                </c:pt>
                <c:pt idx="20">
                  <c:v>8.6599616520698213</c:v>
                </c:pt>
                <c:pt idx="21">
                  <c:v>4.5159376343566811</c:v>
                </c:pt>
                <c:pt idx="22">
                  <c:v>6.7946872358502963</c:v>
                </c:pt>
                <c:pt idx="23">
                  <c:v>1.7903424381976834</c:v>
                </c:pt>
                <c:pt idx="24">
                  <c:v>9.723750616145086</c:v>
                </c:pt>
                <c:pt idx="25">
                  <c:v>3.4667863659654077</c:v>
                </c:pt>
                <c:pt idx="26">
                  <c:v>6.6321480491845444</c:v>
                </c:pt>
                <c:pt idx="27">
                  <c:v>1.0302761245988505</c:v>
                </c:pt>
                <c:pt idx="28">
                  <c:v>5.2325063434851895</c:v>
                </c:pt>
                <c:pt idx="29">
                  <c:v>1.0160727539161611</c:v>
                </c:pt>
                <c:pt idx="30">
                  <c:v>3.4570254213828129</c:v>
                </c:pt>
                <c:pt idx="31">
                  <c:v>5.1485714938877205</c:v>
                </c:pt>
                <c:pt idx="32">
                  <c:v>6.383953222407353</c:v>
                </c:pt>
                <c:pt idx="33">
                  <c:v>11.029626958210509</c:v>
                </c:pt>
                <c:pt idx="34">
                  <c:v>7.3561253008092891</c:v>
                </c:pt>
                <c:pt idx="35">
                  <c:v>3.2936508052923816</c:v>
                </c:pt>
                <c:pt idx="36">
                  <c:v>7.5432440186578766</c:v>
                </c:pt>
                <c:pt idx="37">
                  <c:v>7.2958813936056188</c:v>
                </c:pt>
                <c:pt idx="38">
                  <c:v>2.5469004914747475</c:v>
                </c:pt>
                <c:pt idx="39">
                  <c:v>6.8609339150139821</c:v>
                </c:pt>
                <c:pt idx="40">
                  <c:v>2.0394594495174263</c:v>
                </c:pt>
                <c:pt idx="41">
                  <c:v>6.3731915012522746</c:v>
                </c:pt>
                <c:pt idx="42">
                  <c:v>2.4917252916504018</c:v>
                </c:pt>
                <c:pt idx="43">
                  <c:v>11.675926277681612</c:v>
                </c:pt>
                <c:pt idx="44">
                  <c:v>5.8996896800575254</c:v>
                </c:pt>
                <c:pt idx="45">
                  <c:v>3.4891821950262263</c:v>
                </c:pt>
                <c:pt idx="46">
                  <c:v>9.4074796882563891</c:v>
                </c:pt>
                <c:pt idx="47">
                  <c:v>2.1027147488645679</c:v>
                </c:pt>
                <c:pt idx="48">
                  <c:v>1.1036018171845361</c:v>
                </c:pt>
                <c:pt idx="49">
                  <c:v>2.8128456630477374</c:v>
                </c:pt>
                <c:pt idx="50">
                  <c:v>4.9289925544777375</c:v>
                </c:pt>
                <c:pt idx="51">
                  <c:v>2.4973003811869519</c:v>
                </c:pt>
                <c:pt idx="52">
                  <c:v>0.65995700604741014</c:v>
                </c:pt>
                <c:pt idx="53">
                  <c:v>3.1235127745476241</c:v>
                </c:pt>
                <c:pt idx="54">
                  <c:v>5.1029009683791058</c:v>
                </c:pt>
                <c:pt idx="55">
                  <c:v>8.1501330749657068</c:v>
                </c:pt>
                <c:pt idx="56">
                  <c:v>4.5777865819461745</c:v>
                </c:pt>
                <c:pt idx="57">
                  <c:v>10.163108262601595</c:v>
                </c:pt>
                <c:pt idx="58">
                  <c:v>3.2698969029319001</c:v>
                </c:pt>
                <c:pt idx="59">
                  <c:v>31.889168137218064</c:v>
                </c:pt>
                <c:pt idx="60">
                  <c:v>1.6298672533134728</c:v>
                </c:pt>
                <c:pt idx="61">
                  <c:v>1.9015488806450234</c:v>
                </c:pt>
                <c:pt idx="62">
                  <c:v>10.175360935343885</c:v>
                </c:pt>
                <c:pt idx="63">
                  <c:v>2.9464417509136736</c:v>
                </c:pt>
                <c:pt idx="64">
                  <c:v>25.77654466603056</c:v>
                </c:pt>
                <c:pt idx="65">
                  <c:v>3.9665577976425466</c:v>
                </c:pt>
                <c:pt idx="66">
                  <c:v>5.1114244980577075</c:v>
                </c:pt>
                <c:pt idx="67">
                  <c:v>3.7299223135600603</c:v>
                </c:pt>
                <c:pt idx="68">
                  <c:v>15.426282208877298</c:v>
                </c:pt>
                <c:pt idx="69">
                  <c:v>2.619844137495734</c:v>
                </c:pt>
                <c:pt idx="70">
                  <c:v>15.290840879153292</c:v>
                </c:pt>
                <c:pt idx="71">
                  <c:v>13.377043950565353</c:v>
                </c:pt>
                <c:pt idx="72">
                  <c:v>13.306291079569737</c:v>
                </c:pt>
                <c:pt idx="73">
                  <c:v>1.2026535455913936</c:v>
                </c:pt>
                <c:pt idx="74">
                  <c:v>8.973277868743148</c:v>
                </c:pt>
                <c:pt idx="75">
                  <c:v>19.043325915119532</c:v>
                </c:pt>
                <c:pt idx="76">
                  <c:v>5.0996664798685147</c:v>
                </c:pt>
                <c:pt idx="77">
                  <c:v>5.071025610363268</c:v>
                </c:pt>
                <c:pt idx="78">
                  <c:v>4.9175045765207024</c:v>
                </c:pt>
                <c:pt idx="79">
                  <c:v>14.522081357173025</c:v>
                </c:pt>
                <c:pt idx="80">
                  <c:v>3.4839743787851738</c:v>
                </c:pt>
                <c:pt idx="81">
                  <c:v>3.3479652566702667</c:v>
                </c:pt>
                <c:pt idx="82">
                  <c:v>20.449029065547414</c:v>
                </c:pt>
                <c:pt idx="83">
                  <c:v>1.0870291378425028</c:v>
                </c:pt>
                <c:pt idx="84">
                  <c:v>3.8414607693195979</c:v>
                </c:pt>
                <c:pt idx="85">
                  <c:v>10.46342024685802</c:v>
                </c:pt>
                <c:pt idx="86">
                  <c:v>15.62374875121378</c:v>
                </c:pt>
                <c:pt idx="87">
                  <c:v>6.1817727453252589</c:v>
                </c:pt>
                <c:pt idx="88">
                  <c:v>3.5027958560225496</c:v>
                </c:pt>
                <c:pt idx="89">
                  <c:v>2.3444787455065197</c:v>
                </c:pt>
                <c:pt idx="90">
                  <c:v>17.085499114373498</c:v>
                </c:pt>
                <c:pt idx="91">
                  <c:v>3.2314101768653738</c:v>
                </c:pt>
                <c:pt idx="92">
                  <c:v>8.1418831406303074</c:v>
                </c:pt>
                <c:pt idx="93">
                  <c:v>4.7086448859687939</c:v>
                </c:pt>
                <c:pt idx="94">
                  <c:v>5.4064924574071576</c:v>
                </c:pt>
                <c:pt idx="95">
                  <c:v>17.389862765060993</c:v>
                </c:pt>
                <c:pt idx="96">
                  <c:v>2.4077703334669085</c:v>
                </c:pt>
                <c:pt idx="97">
                  <c:v>1.4409840870242987</c:v>
                </c:pt>
                <c:pt idx="98">
                  <c:v>4.2165279996973801</c:v>
                </c:pt>
                <c:pt idx="99">
                  <c:v>2.2995449096848977</c:v>
                </c:pt>
              </c:numCache>
            </c:numRef>
          </c:xVal>
          <c:yVal>
            <c:numRef>
              <c:f>fake_coffee_sales_data!$J$2:$J$101</c:f>
              <c:numCache>
                <c:formatCode>_-* #,##0_-;\-* #,##0_-;_-* "-"??_-;_-@_-</c:formatCode>
                <c:ptCount val="100"/>
                <c:pt idx="0">
                  <c:v>3137.5251558380905</c:v>
                </c:pt>
                <c:pt idx="1">
                  <c:v>5251.2828371858195</c:v>
                </c:pt>
                <c:pt idx="2">
                  <c:v>3573.0947739936</c:v>
                </c:pt>
                <c:pt idx="3">
                  <c:v>1632.1464585076219</c:v>
                </c:pt>
                <c:pt idx="4">
                  <c:v>3742.5169091758198</c:v>
                </c:pt>
                <c:pt idx="5">
                  <c:v>663.06394119097399</c:v>
                </c:pt>
                <c:pt idx="6">
                  <c:v>1115.804069282457</c:v>
                </c:pt>
                <c:pt idx="7">
                  <c:v>1046.7781699346042</c:v>
                </c:pt>
                <c:pt idx="8">
                  <c:v>3216.9861267077631</c:v>
                </c:pt>
                <c:pt idx="9">
                  <c:v>3862.0370198932187</c:v>
                </c:pt>
                <c:pt idx="10">
                  <c:v>2616.9081571537999</c:v>
                </c:pt>
                <c:pt idx="11">
                  <c:v>3904.9905993150205</c:v>
                </c:pt>
                <c:pt idx="12">
                  <c:v>3659.312315976279</c:v>
                </c:pt>
                <c:pt idx="13">
                  <c:v>2560.5350198938399</c:v>
                </c:pt>
                <c:pt idx="14">
                  <c:v>729.46106462780995</c:v>
                </c:pt>
                <c:pt idx="15">
                  <c:v>3756.6752602710499</c:v>
                </c:pt>
                <c:pt idx="16">
                  <c:v>1892.1484906517198</c:v>
                </c:pt>
                <c:pt idx="17">
                  <c:v>5027.5017580872809</c:v>
                </c:pt>
                <c:pt idx="18">
                  <c:v>3118.0887325322792</c:v>
                </c:pt>
                <c:pt idx="19">
                  <c:v>5716.6385794101298</c:v>
                </c:pt>
                <c:pt idx="20">
                  <c:v>2901.08715344339</c:v>
                </c:pt>
                <c:pt idx="21">
                  <c:v>2257.9688171783405</c:v>
                </c:pt>
                <c:pt idx="22">
                  <c:v>1372.5268216417599</c:v>
                </c:pt>
                <c:pt idx="23">
                  <c:v>587.23231972884014</c:v>
                </c:pt>
                <c:pt idx="24">
                  <c:v>3383.8652144184898</c:v>
                </c:pt>
                <c:pt idx="25">
                  <c:v>2974.5027019983199</c:v>
                </c:pt>
                <c:pt idx="26">
                  <c:v>2845.1915131001697</c:v>
                </c:pt>
                <c:pt idx="27">
                  <c:v>932.39989276195979</c:v>
                </c:pt>
                <c:pt idx="28">
                  <c:v>4688.3256837627296</c:v>
                </c:pt>
                <c:pt idx="29">
                  <c:v>440.9755751996139</c:v>
                </c:pt>
                <c:pt idx="30">
                  <c:v>777.83071981113289</c:v>
                </c:pt>
                <c:pt idx="31">
                  <c:v>3320.82861355758</c:v>
                </c:pt>
                <c:pt idx="32">
                  <c:v>1340.630176705544</c:v>
                </c:pt>
                <c:pt idx="33">
                  <c:v>3242.7103257138897</c:v>
                </c:pt>
                <c:pt idx="34">
                  <c:v>7348.7691755084797</c:v>
                </c:pt>
                <c:pt idx="35">
                  <c:v>638.96825622672202</c:v>
                </c:pt>
                <c:pt idx="36">
                  <c:v>3801.7949854035696</c:v>
                </c:pt>
                <c:pt idx="37">
                  <c:v>4545.3341082163006</c:v>
                </c:pt>
                <c:pt idx="38">
                  <c:v>1866.8780602509901</c:v>
                </c:pt>
                <c:pt idx="39">
                  <c:v>3876.4276619828997</c:v>
                </c:pt>
                <c:pt idx="40">
                  <c:v>1941.56539594059</c:v>
                </c:pt>
                <c:pt idx="41">
                  <c:v>3110.1174526111099</c:v>
                </c:pt>
                <c:pt idx="42">
                  <c:v>1801.5173858632406</c:v>
                </c:pt>
                <c:pt idx="43">
                  <c:v>6083.15759067212</c:v>
                </c:pt>
                <c:pt idx="44">
                  <c:v>5651.9027134951093</c:v>
                </c:pt>
                <c:pt idx="45">
                  <c:v>924.63328168194994</c:v>
                </c:pt>
                <c:pt idx="46">
                  <c:v>1928.5333360925599</c:v>
                </c:pt>
                <c:pt idx="47">
                  <c:v>851.59947329014994</c:v>
                </c:pt>
                <c:pt idx="48">
                  <c:v>963.44438640210001</c:v>
                </c:pt>
                <c:pt idx="49">
                  <c:v>2810.0328173846897</c:v>
                </c:pt>
                <c:pt idx="50">
                  <c:v>4357.2294181583202</c:v>
                </c:pt>
                <c:pt idx="51">
                  <c:v>2112.7161224841611</c:v>
                </c:pt>
                <c:pt idx="52">
                  <c:v>524.66581980769104</c:v>
                </c:pt>
                <c:pt idx="53">
                  <c:v>2392.61078530348</c:v>
                </c:pt>
                <c:pt idx="54">
                  <c:v>4388.4948328060309</c:v>
                </c:pt>
                <c:pt idx="55">
                  <c:v>3855.0129444587797</c:v>
                </c:pt>
                <c:pt idx="56">
                  <c:v>3218.1839671081607</c:v>
                </c:pt>
                <c:pt idx="57">
                  <c:v>4522.58317685771</c:v>
                </c:pt>
                <c:pt idx="58">
                  <c:v>3063.8933980471902</c:v>
                </c:pt>
                <c:pt idx="59">
                  <c:v>4783.3752205827095</c:v>
                </c:pt>
                <c:pt idx="60">
                  <c:v>1357.6794220101228</c:v>
                </c:pt>
                <c:pt idx="61">
                  <c:v>1646.7413306385902</c:v>
                </c:pt>
                <c:pt idx="62">
                  <c:v>6888.7193532278106</c:v>
                </c:pt>
                <c:pt idx="63">
                  <c:v>2365.99272598368</c:v>
                </c:pt>
                <c:pt idx="64">
                  <c:v>5077.9792992080202</c:v>
                </c:pt>
                <c:pt idx="65">
                  <c:v>2118.1418639411199</c:v>
                </c:pt>
                <c:pt idx="66">
                  <c:v>2964.6262088734702</c:v>
                </c:pt>
                <c:pt idx="67">
                  <c:v>2469.2085715767598</c:v>
                </c:pt>
                <c:pt idx="68">
                  <c:v>3656.0288835039196</c:v>
                </c:pt>
                <c:pt idx="69">
                  <c:v>1590.2453914599105</c:v>
                </c:pt>
                <c:pt idx="70">
                  <c:v>2324.2078136313003</c:v>
                </c:pt>
                <c:pt idx="71">
                  <c:v>1899.54024098028</c:v>
                </c:pt>
                <c:pt idx="72">
                  <c:v>5056.3906102364999</c:v>
                </c:pt>
                <c:pt idx="73">
                  <c:v>916.42200174064192</c:v>
                </c:pt>
                <c:pt idx="74">
                  <c:v>5554.4590007520092</c:v>
                </c:pt>
                <c:pt idx="75">
                  <c:v>3656.3185757029501</c:v>
                </c:pt>
                <c:pt idx="76">
                  <c:v>3982.8395207773101</c:v>
                </c:pt>
                <c:pt idx="77">
                  <c:v>2545.6548564023606</c:v>
                </c:pt>
                <c:pt idx="78">
                  <c:v>3009.5128008306701</c:v>
                </c:pt>
                <c:pt idx="79">
                  <c:v>2105.7017967900888</c:v>
                </c:pt>
                <c:pt idx="80">
                  <c:v>3003.1859145128196</c:v>
                </c:pt>
                <c:pt idx="81">
                  <c:v>2889.2940165064401</c:v>
                </c:pt>
                <c:pt idx="82">
                  <c:v>3558.13105740525</c:v>
                </c:pt>
                <c:pt idx="83">
                  <c:v>436.9857134126861</c:v>
                </c:pt>
                <c:pt idx="84">
                  <c:v>2097.4375800485004</c:v>
                </c:pt>
                <c:pt idx="85">
                  <c:v>4541.1243871363804</c:v>
                </c:pt>
                <c:pt idx="86">
                  <c:v>2812.2747752184805</c:v>
                </c:pt>
                <c:pt idx="87">
                  <c:v>5866.5023353136703</c:v>
                </c:pt>
                <c:pt idx="88">
                  <c:v>2980.8792734751896</c:v>
                </c:pt>
                <c:pt idx="89">
                  <c:v>2229.5992869767001</c:v>
                </c:pt>
                <c:pt idx="90">
                  <c:v>4835.1962493677001</c:v>
                </c:pt>
                <c:pt idx="91">
                  <c:v>1774.0441870990903</c:v>
                </c:pt>
                <c:pt idx="92">
                  <c:v>2393.7136433453102</c:v>
                </c:pt>
                <c:pt idx="93">
                  <c:v>3630.3652070819398</c:v>
                </c:pt>
                <c:pt idx="94">
                  <c:v>5401.0859649497506</c:v>
                </c:pt>
                <c:pt idx="95">
                  <c:v>4903.9412997472</c:v>
                </c:pt>
                <c:pt idx="96">
                  <c:v>1791.38112809938</c:v>
                </c:pt>
                <c:pt idx="97">
                  <c:v>1337.2332327585491</c:v>
                </c:pt>
                <c:pt idx="98">
                  <c:v>2719.66055980481</c:v>
                </c:pt>
                <c:pt idx="99">
                  <c:v>2041.995879800189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5B866F1-B494-425B-B907-7613A5E2C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778760"/>
        <c:axId val="536784904"/>
      </c:scatterChart>
      <c:valAx>
        <c:axId val="536778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84904"/>
        <c:crosses val="autoZero"/>
        <c:crossBetween val="midCat"/>
      </c:valAx>
      <c:valAx>
        <c:axId val="53678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78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'Profit' and 'Spike Ratio'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fake_coffee_sales_data!I1</c:f>
              <c:strCache>
                <c:ptCount val="1"/>
                <c:pt idx="0">
                  <c:v>Spike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72B-4A99-88E4-7100744359B4}"/>
              </c:ext>
            </c:extLst>
          </c:dPt>
          <c:xVal>
            <c:numRef>
              <c:f>fake_coffee_sales_data!$H$2:$H$101</c:f>
              <c:numCache>
                <c:formatCode>_-* #,##0_-;\-* #,##0_-;_-* "-"??_-;_-@_-</c:formatCode>
                <c:ptCount val="100"/>
                <c:pt idx="0">
                  <c:v>3137.5251558380905</c:v>
                </c:pt>
                <c:pt idx="1">
                  <c:v>5251.2828371858195</c:v>
                </c:pt>
                <c:pt idx="2">
                  <c:v>3573.0947739936</c:v>
                </c:pt>
                <c:pt idx="3">
                  <c:v>1632.1464585076219</c:v>
                </c:pt>
                <c:pt idx="4">
                  <c:v>3742.5169091758198</c:v>
                </c:pt>
                <c:pt idx="5">
                  <c:v>663.06394119097399</c:v>
                </c:pt>
                <c:pt idx="6">
                  <c:v>1115.804069282457</c:v>
                </c:pt>
                <c:pt idx="7">
                  <c:v>1046.7781699346042</c:v>
                </c:pt>
                <c:pt idx="8">
                  <c:v>3216.9861267077631</c:v>
                </c:pt>
                <c:pt idx="9">
                  <c:v>3862.0370198932187</c:v>
                </c:pt>
                <c:pt idx="10">
                  <c:v>2616.9081571537999</c:v>
                </c:pt>
                <c:pt idx="11">
                  <c:v>3904.9905993150205</c:v>
                </c:pt>
                <c:pt idx="12">
                  <c:v>3659.312315976279</c:v>
                </c:pt>
                <c:pt idx="13">
                  <c:v>2560.5350198938399</c:v>
                </c:pt>
                <c:pt idx="14">
                  <c:v>729.46106462780995</c:v>
                </c:pt>
                <c:pt idx="15">
                  <c:v>3756.6752602710499</c:v>
                </c:pt>
                <c:pt idx="16">
                  <c:v>1892.1484906517198</c:v>
                </c:pt>
                <c:pt idx="17">
                  <c:v>5027.5017580872809</c:v>
                </c:pt>
                <c:pt idx="18">
                  <c:v>3118.0887325322792</c:v>
                </c:pt>
                <c:pt idx="19">
                  <c:v>5716.6385794101298</c:v>
                </c:pt>
                <c:pt idx="20">
                  <c:v>2901.08715344339</c:v>
                </c:pt>
                <c:pt idx="21">
                  <c:v>2257.9688171783405</c:v>
                </c:pt>
                <c:pt idx="22">
                  <c:v>1372.5268216417599</c:v>
                </c:pt>
                <c:pt idx="23">
                  <c:v>587.23231972884014</c:v>
                </c:pt>
                <c:pt idx="24">
                  <c:v>3383.8652144184898</c:v>
                </c:pt>
                <c:pt idx="25">
                  <c:v>2974.5027019983199</c:v>
                </c:pt>
                <c:pt idx="26">
                  <c:v>2845.1915131001697</c:v>
                </c:pt>
                <c:pt idx="27">
                  <c:v>932.39989276195979</c:v>
                </c:pt>
                <c:pt idx="28">
                  <c:v>4688.3256837627296</c:v>
                </c:pt>
                <c:pt idx="29">
                  <c:v>440.9755751996139</c:v>
                </c:pt>
                <c:pt idx="30">
                  <c:v>777.83071981113289</c:v>
                </c:pt>
                <c:pt idx="31">
                  <c:v>3320.82861355758</c:v>
                </c:pt>
                <c:pt idx="32">
                  <c:v>1340.630176705544</c:v>
                </c:pt>
                <c:pt idx="33">
                  <c:v>3242.7103257138897</c:v>
                </c:pt>
                <c:pt idx="34">
                  <c:v>7348.7691755084797</c:v>
                </c:pt>
                <c:pt idx="35">
                  <c:v>638.96825622672202</c:v>
                </c:pt>
                <c:pt idx="36">
                  <c:v>3801.7949854035696</c:v>
                </c:pt>
                <c:pt idx="37">
                  <c:v>4545.3341082163006</c:v>
                </c:pt>
                <c:pt idx="38">
                  <c:v>1866.8780602509901</c:v>
                </c:pt>
                <c:pt idx="39">
                  <c:v>3876.4276619828997</c:v>
                </c:pt>
                <c:pt idx="40">
                  <c:v>1941.56539594059</c:v>
                </c:pt>
                <c:pt idx="41">
                  <c:v>3110.1174526111099</c:v>
                </c:pt>
                <c:pt idx="42">
                  <c:v>1801.5173858632406</c:v>
                </c:pt>
                <c:pt idx="43">
                  <c:v>6083.15759067212</c:v>
                </c:pt>
                <c:pt idx="44">
                  <c:v>5651.9027134951093</c:v>
                </c:pt>
                <c:pt idx="45">
                  <c:v>924.63328168194994</c:v>
                </c:pt>
                <c:pt idx="46">
                  <c:v>1928.5333360925599</c:v>
                </c:pt>
                <c:pt idx="47">
                  <c:v>851.59947329014994</c:v>
                </c:pt>
                <c:pt idx="48">
                  <c:v>963.44438640210001</c:v>
                </c:pt>
                <c:pt idx="49">
                  <c:v>2810.0328173846897</c:v>
                </c:pt>
                <c:pt idx="50">
                  <c:v>4357.2294181583202</c:v>
                </c:pt>
                <c:pt idx="51">
                  <c:v>2112.7161224841611</c:v>
                </c:pt>
                <c:pt idx="52">
                  <c:v>524.66581980769104</c:v>
                </c:pt>
                <c:pt idx="53">
                  <c:v>2392.61078530348</c:v>
                </c:pt>
                <c:pt idx="54">
                  <c:v>4388.4948328060309</c:v>
                </c:pt>
                <c:pt idx="55">
                  <c:v>3855.0129444587797</c:v>
                </c:pt>
                <c:pt idx="56">
                  <c:v>3218.1839671081607</c:v>
                </c:pt>
                <c:pt idx="57">
                  <c:v>4522.58317685771</c:v>
                </c:pt>
                <c:pt idx="58">
                  <c:v>3063.8933980471902</c:v>
                </c:pt>
                <c:pt idx="59">
                  <c:v>4783.3752205827095</c:v>
                </c:pt>
                <c:pt idx="60">
                  <c:v>1357.6794220101228</c:v>
                </c:pt>
                <c:pt idx="61">
                  <c:v>1646.7413306385902</c:v>
                </c:pt>
                <c:pt idx="62">
                  <c:v>6888.7193532278106</c:v>
                </c:pt>
                <c:pt idx="63">
                  <c:v>2365.99272598368</c:v>
                </c:pt>
                <c:pt idx="64">
                  <c:v>5077.9792992080202</c:v>
                </c:pt>
                <c:pt idx="65">
                  <c:v>2118.1418639411199</c:v>
                </c:pt>
                <c:pt idx="66">
                  <c:v>2964.6262088734702</c:v>
                </c:pt>
                <c:pt idx="67">
                  <c:v>2469.2085715767598</c:v>
                </c:pt>
                <c:pt idx="68">
                  <c:v>3656.0288835039196</c:v>
                </c:pt>
                <c:pt idx="69">
                  <c:v>1590.2453914599105</c:v>
                </c:pt>
                <c:pt idx="70">
                  <c:v>2324.2078136313003</c:v>
                </c:pt>
                <c:pt idx="71">
                  <c:v>1899.54024098028</c:v>
                </c:pt>
                <c:pt idx="72">
                  <c:v>5056.3906102364999</c:v>
                </c:pt>
                <c:pt idx="73">
                  <c:v>916.42200174064192</c:v>
                </c:pt>
                <c:pt idx="74">
                  <c:v>5554.4590007520092</c:v>
                </c:pt>
                <c:pt idx="75">
                  <c:v>3656.3185757029501</c:v>
                </c:pt>
                <c:pt idx="76">
                  <c:v>3982.8395207773101</c:v>
                </c:pt>
                <c:pt idx="77">
                  <c:v>2545.6548564023606</c:v>
                </c:pt>
                <c:pt idx="78">
                  <c:v>3009.5128008306701</c:v>
                </c:pt>
                <c:pt idx="79">
                  <c:v>2105.7017967900888</c:v>
                </c:pt>
                <c:pt idx="80">
                  <c:v>3003.1859145128196</c:v>
                </c:pt>
                <c:pt idx="81">
                  <c:v>2889.2940165064401</c:v>
                </c:pt>
                <c:pt idx="82">
                  <c:v>3558.13105740525</c:v>
                </c:pt>
                <c:pt idx="83">
                  <c:v>436.9857134126861</c:v>
                </c:pt>
                <c:pt idx="84">
                  <c:v>2097.4375800485004</c:v>
                </c:pt>
                <c:pt idx="85">
                  <c:v>4541.1243871363804</c:v>
                </c:pt>
                <c:pt idx="86">
                  <c:v>2812.2747752184805</c:v>
                </c:pt>
                <c:pt idx="87">
                  <c:v>5866.5023353136703</c:v>
                </c:pt>
                <c:pt idx="88">
                  <c:v>2980.8792734751896</c:v>
                </c:pt>
                <c:pt idx="89">
                  <c:v>2229.5992869767001</c:v>
                </c:pt>
                <c:pt idx="90">
                  <c:v>4835.1962493677001</c:v>
                </c:pt>
                <c:pt idx="91">
                  <c:v>1774.0441870990903</c:v>
                </c:pt>
                <c:pt idx="92">
                  <c:v>2393.7136433453102</c:v>
                </c:pt>
                <c:pt idx="93">
                  <c:v>3630.3652070819398</c:v>
                </c:pt>
                <c:pt idx="94">
                  <c:v>5401.0859649497506</c:v>
                </c:pt>
                <c:pt idx="95">
                  <c:v>4903.9412997472</c:v>
                </c:pt>
                <c:pt idx="96">
                  <c:v>1791.38112809938</c:v>
                </c:pt>
                <c:pt idx="97">
                  <c:v>1337.2332327585491</c:v>
                </c:pt>
                <c:pt idx="98">
                  <c:v>2719.66055980481</c:v>
                </c:pt>
                <c:pt idx="99">
                  <c:v>2041.995879800189</c:v>
                </c:pt>
              </c:numCache>
            </c:numRef>
          </c:xVal>
          <c:yVal>
            <c:numRef>
              <c:f>fake_coffee_sales_data!$I$2:$I$101</c:f>
              <c:numCache>
                <c:formatCode>0.00</c:formatCode>
                <c:ptCount val="100"/>
                <c:pt idx="0">
                  <c:v>5.8755152731050382</c:v>
                </c:pt>
                <c:pt idx="1">
                  <c:v>17.161055023483069</c:v>
                </c:pt>
                <c:pt idx="2">
                  <c:v>3.8669856861402598</c:v>
                </c:pt>
                <c:pt idx="3">
                  <c:v>10.667623911814522</c:v>
                </c:pt>
                <c:pt idx="4">
                  <c:v>4.1722596534847494</c:v>
                </c:pt>
                <c:pt idx="5">
                  <c:v>0.79219108863915655</c:v>
                </c:pt>
                <c:pt idx="6">
                  <c:v>2.7415333397603368</c:v>
                </c:pt>
                <c:pt idx="7">
                  <c:v>1.6330392666686493</c:v>
                </c:pt>
                <c:pt idx="8">
                  <c:v>13.866319511671392</c:v>
                </c:pt>
                <c:pt idx="9">
                  <c:v>12.704069144385588</c:v>
                </c:pt>
                <c:pt idx="10">
                  <c:v>5.2338163143075995</c:v>
                </c:pt>
                <c:pt idx="11">
                  <c:v>23.243991662589409</c:v>
                </c:pt>
                <c:pt idx="12">
                  <c:v>3.7263872871448869</c:v>
                </c:pt>
                <c:pt idx="13">
                  <c:v>5.57850766861403</c:v>
                </c:pt>
                <c:pt idx="14">
                  <c:v>0.77028623508744454</c:v>
                </c:pt>
                <c:pt idx="15">
                  <c:v>3.9010127313302698</c:v>
                </c:pt>
                <c:pt idx="16">
                  <c:v>2.9891761305714373</c:v>
                </c:pt>
                <c:pt idx="17">
                  <c:v>31.421885988045506</c:v>
                </c:pt>
                <c:pt idx="18">
                  <c:v>9.3918335317237318</c:v>
                </c:pt>
                <c:pt idx="19">
                  <c:v>54.967678648174328</c:v>
                </c:pt>
                <c:pt idx="20">
                  <c:v>8.6599616520698213</c:v>
                </c:pt>
                <c:pt idx="21">
                  <c:v>4.5159376343566811</c:v>
                </c:pt>
                <c:pt idx="22">
                  <c:v>6.7946872358502963</c:v>
                </c:pt>
                <c:pt idx="23">
                  <c:v>1.7903424381976834</c:v>
                </c:pt>
                <c:pt idx="24">
                  <c:v>9.723750616145086</c:v>
                </c:pt>
                <c:pt idx="25">
                  <c:v>3.4667863659654077</c:v>
                </c:pt>
                <c:pt idx="26">
                  <c:v>6.6321480491845444</c:v>
                </c:pt>
                <c:pt idx="27">
                  <c:v>1.0302761245988505</c:v>
                </c:pt>
                <c:pt idx="28">
                  <c:v>5.2325063434851895</c:v>
                </c:pt>
                <c:pt idx="29">
                  <c:v>1.0160727539161611</c:v>
                </c:pt>
                <c:pt idx="30">
                  <c:v>3.4570254213828129</c:v>
                </c:pt>
                <c:pt idx="31">
                  <c:v>5.1485714938877205</c:v>
                </c:pt>
                <c:pt idx="32">
                  <c:v>6.383953222407353</c:v>
                </c:pt>
                <c:pt idx="33">
                  <c:v>11.029626958210509</c:v>
                </c:pt>
                <c:pt idx="34">
                  <c:v>7.3561253008092891</c:v>
                </c:pt>
                <c:pt idx="35">
                  <c:v>3.2936508052923816</c:v>
                </c:pt>
                <c:pt idx="36">
                  <c:v>7.5432440186578766</c:v>
                </c:pt>
                <c:pt idx="37">
                  <c:v>7.2958813936056188</c:v>
                </c:pt>
                <c:pt idx="38">
                  <c:v>2.5469004914747475</c:v>
                </c:pt>
                <c:pt idx="39">
                  <c:v>6.8609339150139821</c:v>
                </c:pt>
                <c:pt idx="40">
                  <c:v>2.0394594495174263</c:v>
                </c:pt>
                <c:pt idx="41">
                  <c:v>6.3731915012522746</c:v>
                </c:pt>
                <c:pt idx="42">
                  <c:v>2.4917252916504018</c:v>
                </c:pt>
                <c:pt idx="43">
                  <c:v>11.675926277681612</c:v>
                </c:pt>
                <c:pt idx="44">
                  <c:v>5.8996896800575254</c:v>
                </c:pt>
                <c:pt idx="45">
                  <c:v>3.4891821950262263</c:v>
                </c:pt>
                <c:pt idx="46">
                  <c:v>9.4074796882563891</c:v>
                </c:pt>
                <c:pt idx="47">
                  <c:v>2.1027147488645679</c:v>
                </c:pt>
                <c:pt idx="48">
                  <c:v>1.1036018171845361</c:v>
                </c:pt>
                <c:pt idx="49">
                  <c:v>2.8128456630477374</c:v>
                </c:pt>
                <c:pt idx="50">
                  <c:v>4.9289925544777375</c:v>
                </c:pt>
                <c:pt idx="51">
                  <c:v>2.4973003811869519</c:v>
                </c:pt>
                <c:pt idx="52">
                  <c:v>0.65995700604741014</c:v>
                </c:pt>
                <c:pt idx="53">
                  <c:v>3.1235127745476241</c:v>
                </c:pt>
                <c:pt idx="54">
                  <c:v>5.1029009683791058</c:v>
                </c:pt>
                <c:pt idx="55">
                  <c:v>8.1501330749657068</c:v>
                </c:pt>
                <c:pt idx="56">
                  <c:v>4.5777865819461745</c:v>
                </c:pt>
                <c:pt idx="57">
                  <c:v>10.163108262601595</c:v>
                </c:pt>
                <c:pt idx="58">
                  <c:v>3.2698969029319001</c:v>
                </c:pt>
                <c:pt idx="59">
                  <c:v>31.889168137218064</c:v>
                </c:pt>
                <c:pt idx="60">
                  <c:v>1.6298672533134728</c:v>
                </c:pt>
                <c:pt idx="61">
                  <c:v>1.9015488806450234</c:v>
                </c:pt>
                <c:pt idx="62">
                  <c:v>10.175360935343885</c:v>
                </c:pt>
                <c:pt idx="63">
                  <c:v>2.9464417509136736</c:v>
                </c:pt>
                <c:pt idx="64">
                  <c:v>25.77654466603056</c:v>
                </c:pt>
                <c:pt idx="65">
                  <c:v>3.9665577976425466</c:v>
                </c:pt>
                <c:pt idx="66">
                  <c:v>5.1114244980577075</c:v>
                </c:pt>
                <c:pt idx="67">
                  <c:v>3.7299223135600603</c:v>
                </c:pt>
                <c:pt idx="68">
                  <c:v>15.426282208877298</c:v>
                </c:pt>
                <c:pt idx="69">
                  <c:v>2.619844137495734</c:v>
                </c:pt>
                <c:pt idx="70">
                  <c:v>15.290840879153292</c:v>
                </c:pt>
                <c:pt idx="71">
                  <c:v>13.377043950565353</c:v>
                </c:pt>
                <c:pt idx="72">
                  <c:v>13.306291079569737</c:v>
                </c:pt>
                <c:pt idx="73">
                  <c:v>1.2026535455913936</c:v>
                </c:pt>
                <c:pt idx="74">
                  <c:v>8.973277868743148</c:v>
                </c:pt>
                <c:pt idx="75">
                  <c:v>19.043325915119532</c:v>
                </c:pt>
                <c:pt idx="76">
                  <c:v>5.0996664798685147</c:v>
                </c:pt>
                <c:pt idx="77">
                  <c:v>5.071025610363268</c:v>
                </c:pt>
                <c:pt idx="78">
                  <c:v>4.9175045765207024</c:v>
                </c:pt>
                <c:pt idx="79">
                  <c:v>14.522081357173025</c:v>
                </c:pt>
                <c:pt idx="80">
                  <c:v>3.4839743787851738</c:v>
                </c:pt>
                <c:pt idx="81">
                  <c:v>3.3479652566702667</c:v>
                </c:pt>
                <c:pt idx="82">
                  <c:v>20.449029065547414</c:v>
                </c:pt>
                <c:pt idx="83">
                  <c:v>1.0870291378425028</c:v>
                </c:pt>
                <c:pt idx="84">
                  <c:v>3.8414607693195979</c:v>
                </c:pt>
                <c:pt idx="85">
                  <c:v>10.46342024685802</c:v>
                </c:pt>
                <c:pt idx="86">
                  <c:v>15.62374875121378</c:v>
                </c:pt>
                <c:pt idx="87">
                  <c:v>6.1817727453252589</c:v>
                </c:pt>
                <c:pt idx="88">
                  <c:v>3.5027958560225496</c:v>
                </c:pt>
                <c:pt idx="89">
                  <c:v>2.3444787455065197</c:v>
                </c:pt>
                <c:pt idx="90">
                  <c:v>17.085499114373498</c:v>
                </c:pt>
                <c:pt idx="91">
                  <c:v>3.2314101768653738</c:v>
                </c:pt>
                <c:pt idx="92">
                  <c:v>8.1418831406303074</c:v>
                </c:pt>
                <c:pt idx="93">
                  <c:v>4.7086448859687939</c:v>
                </c:pt>
                <c:pt idx="94">
                  <c:v>5.4064924574071576</c:v>
                </c:pt>
                <c:pt idx="95">
                  <c:v>17.389862765060993</c:v>
                </c:pt>
                <c:pt idx="96">
                  <c:v>2.4077703334669085</c:v>
                </c:pt>
                <c:pt idx="97">
                  <c:v>1.4409840870242987</c:v>
                </c:pt>
                <c:pt idx="98">
                  <c:v>4.2165279996973801</c:v>
                </c:pt>
                <c:pt idx="99">
                  <c:v>2.2995449096848977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8001296B-1066-421D-8CB1-B25FF16F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921096"/>
        <c:axId val="536923144"/>
      </c:scatterChart>
      <c:valAx>
        <c:axId val="536921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23144"/>
        <c:crosses val="autoZero"/>
        <c:crossBetween val="midCat"/>
      </c:valAx>
      <c:valAx>
        <c:axId val="53692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21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'Number of Customers' and 'Spike Ratio' appear to form a cluster with </a:t>
            </a:r>
            <a:r>
              <a:rPr lang="en-US">
                <a:solidFill>
                  <a:srgbClr val="DD5A13"/>
                </a:solidFill>
              </a:rPr>
              <a:t>1</a:t>
            </a:r>
            <a:r>
              <a:rPr lang="en-US"/>
              <a:t> outlier.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fake_coffee_sales_data!I1</c:f>
              <c:strCache>
                <c:ptCount val="1"/>
                <c:pt idx="0">
                  <c:v>Spike Ratio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D2D2D2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Pt>
            <c:idx val="19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EBD-46ED-9F27-C2C61AF14A61}"/>
              </c:ext>
            </c:extLst>
          </c:dPt>
          <c:xVal>
            <c:numRef>
              <c:f>fake_coffee_sales_data!$D$2:$D$101</c:f>
              <c:numCache>
                <c:formatCode>General</c:formatCode>
                <c:ptCount val="100"/>
                <c:pt idx="0">
                  <c:v>534</c:v>
                </c:pt>
                <c:pt idx="1">
                  <c:v>306</c:v>
                </c:pt>
                <c:pt idx="2">
                  <c:v>924</c:v>
                </c:pt>
                <c:pt idx="3">
                  <c:v>153</c:v>
                </c:pt>
                <c:pt idx="4">
                  <c:v>897</c:v>
                </c:pt>
                <c:pt idx="5">
                  <c:v>837</c:v>
                </c:pt>
                <c:pt idx="6">
                  <c:v>407</c:v>
                </c:pt>
                <c:pt idx="7">
                  <c:v>641</c:v>
                </c:pt>
                <c:pt idx="8">
                  <c:v>232</c:v>
                </c:pt>
                <c:pt idx="9">
                  <c:v>304</c:v>
                </c:pt>
                <c:pt idx="10">
                  <c:v>500</c:v>
                </c:pt>
                <c:pt idx="11">
                  <c:v>168</c:v>
                </c:pt>
                <c:pt idx="12">
                  <c:v>982</c:v>
                </c:pt>
                <c:pt idx="13">
                  <c:v>459</c:v>
                </c:pt>
                <c:pt idx="14">
                  <c:v>947</c:v>
                </c:pt>
                <c:pt idx="15">
                  <c:v>963</c:v>
                </c:pt>
                <c:pt idx="16">
                  <c:v>633</c:v>
                </c:pt>
                <c:pt idx="17">
                  <c:v>160</c:v>
                </c:pt>
                <c:pt idx="18">
                  <c:v>332</c:v>
                </c:pt>
                <c:pt idx="19">
                  <c:v>104</c:v>
                </c:pt>
                <c:pt idx="20">
                  <c:v>335</c:v>
                </c:pt>
                <c:pt idx="21">
                  <c:v>500</c:v>
                </c:pt>
                <c:pt idx="22">
                  <c:v>202</c:v>
                </c:pt>
                <c:pt idx="23">
                  <c:v>328</c:v>
                </c:pt>
                <c:pt idx="24">
                  <c:v>348</c:v>
                </c:pt>
                <c:pt idx="25">
                  <c:v>858</c:v>
                </c:pt>
                <c:pt idx="26">
                  <c:v>429</c:v>
                </c:pt>
                <c:pt idx="27">
                  <c:v>905</c:v>
                </c:pt>
                <c:pt idx="28">
                  <c:v>896</c:v>
                </c:pt>
                <c:pt idx="29">
                  <c:v>434</c:v>
                </c:pt>
                <c:pt idx="30">
                  <c:v>225</c:v>
                </c:pt>
                <c:pt idx="31">
                  <c:v>645</c:v>
                </c:pt>
                <c:pt idx="32">
                  <c:v>210</c:v>
                </c:pt>
                <c:pt idx="33">
                  <c:v>294</c:v>
                </c:pt>
                <c:pt idx="34">
                  <c:v>999</c:v>
                </c:pt>
                <c:pt idx="35">
                  <c:v>194</c:v>
                </c:pt>
                <c:pt idx="36">
                  <c:v>504</c:v>
                </c:pt>
                <c:pt idx="37">
                  <c:v>623</c:v>
                </c:pt>
                <c:pt idx="38">
                  <c:v>733</c:v>
                </c:pt>
                <c:pt idx="39">
                  <c:v>565</c:v>
                </c:pt>
                <c:pt idx="40">
                  <c:v>952</c:v>
                </c:pt>
                <c:pt idx="41">
                  <c:v>488</c:v>
                </c:pt>
                <c:pt idx="42">
                  <c:v>723</c:v>
                </c:pt>
                <c:pt idx="43">
                  <c:v>521</c:v>
                </c:pt>
                <c:pt idx="44">
                  <c:v>958</c:v>
                </c:pt>
                <c:pt idx="45">
                  <c:v>265</c:v>
                </c:pt>
                <c:pt idx="46">
                  <c:v>205</c:v>
                </c:pt>
                <c:pt idx="47">
                  <c:v>405</c:v>
                </c:pt>
                <c:pt idx="48">
                  <c:v>873</c:v>
                </c:pt>
                <c:pt idx="49">
                  <c:v>999</c:v>
                </c:pt>
                <c:pt idx="50">
                  <c:v>884</c:v>
                </c:pt>
                <c:pt idx="51">
                  <c:v>846</c:v>
                </c:pt>
                <c:pt idx="52">
                  <c:v>795</c:v>
                </c:pt>
                <c:pt idx="53">
                  <c:v>766</c:v>
                </c:pt>
                <c:pt idx="54">
                  <c:v>860</c:v>
                </c:pt>
                <c:pt idx="55">
                  <c:v>473</c:v>
                </c:pt>
                <c:pt idx="56">
                  <c:v>703</c:v>
                </c:pt>
                <c:pt idx="57">
                  <c:v>445</c:v>
                </c:pt>
                <c:pt idx="58">
                  <c:v>937</c:v>
                </c:pt>
                <c:pt idx="59">
                  <c:v>150</c:v>
                </c:pt>
                <c:pt idx="60">
                  <c:v>833</c:v>
                </c:pt>
                <c:pt idx="61">
                  <c:v>866</c:v>
                </c:pt>
                <c:pt idx="62">
                  <c:v>677</c:v>
                </c:pt>
                <c:pt idx="63">
                  <c:v>803</c:v>
                </c:pt>
                <c:pt idx="64">
                  <c:v>197</c:v>
                </c:pt>
                <c:pt idx="65">
                  <c:v>534</c:v>
                </c:pt>
                <c:pt idx="66">
                  <c:v>580</c:v>
                </c:pt>
                <c:pt idx="67">
                  <c:v>662</c:v>
                </c:pt>
                <c:pt idx="68">
                  <c:v>237</c:v>
                </c:pt>
                <c:pt idx="69">
                  <c:v>607</c:v>
                </c:pt>
                <c:pt idx="70">
                  <c:v>152</c:v>
                </c:pt>
                <c:pt idx="71">
                  <c:v>142</c:v>
                </c:pt>
                <c:pt idx="72">
                  <c:v>380</c:v>
                </c:pt>
                <c:pt idx="73">
                  <c:v>762</c:v>
                </c:pt>
                <c:pt idx="74">
                  <c:v>619</c:v>
                </c:pt>
                <c:pt idx="75">
                  <c:v>192</c:v>
                </c:pt>
                <c:pt idx="76">
                  <c:v>781</c:v>
                </c:pt>
                <c:pt idx="77">
                  <c:v>502</c:v>
                </c:pt>
                <c:pt idx="78">
                  <c:v>612</c:v>
                </c:pt>
                <c:pt idx="79">
                  <c:v>145</c:v>
                </c:pt>
                <c:pt idx="80">
                  <c:v>862</c:v>
                </c:pt>
                <c:pt idx="81">
                  <c:v>863</c:v>
                </c:pt>
                <c:pt idx="82">
                  <c:v>174</c:v>
                </c:pt>
                <c:pt idx="83">
                  <c:v>402</c:v>
                </c:pt>
                <c:pt idx="84">
                  <c:v>546</c:v>
                </c:pt>
                <c:pt idx="85">
                  <c:v>434</c:v>
                </c:pt>
                <c:pt idx="86">
                  <c:v>180</c:v>
                </c:pt>
                <c:pt idx="87">
                  <c:v>949</c:v>
                </c:pt>
                <c:pt idx="88">
                  <c:v>851</c:v>
                </c:pt>
                <c:pt idx="89">
                  <c:v>951</c:v>
                </c:pt>
                <c:pt idx="90">
                  <c:v>283</c:v>
                </c:pt>
                <c:pt idx="91">
                  <c:v>549</c:v>
                </c:pt>
                <c:pt idx="92">
                  <c:v>294</c:v>
                </c:pt>
                <c:pt idx="93">
                  <c:v>771</c:v>
                </c:pt>
                <c:pt idx="94">
                  <c:v>999</c:v>
                </c:pt>
                <c:pt idx="95">
                  <c:v>282</c:v>
                </c:pt>
                <c:pt idx="96">
                  <c:v>744</c:v>
                </c:pt>
                <c:pt idx="97">
                  <c:v>928</c:v>
                </c:pt>
                <c:pt idx="98">
                  <c:v>645</c:v>
                </c:pt>
                <c:pt idx="99">
                  <c:v>888</c:v>
                </c:pt>
              </c:numCache>
            </c:numRef>
          </c:xVal>
          <c:yVal>
            <c:numRef>
              <c:f>fake_coffee_sales_data!$I$2:$I$101</c:f>
              <c:numCache>
                <c:formatCode>0.00</c:formatCode>
                <c:ptCount val="100"/>
                <c:pt idx="0">
                  <c:v>5.8755152731050382</c:v>
                </c:pt>
                <c:pt idx="1">
                  <c:v>17.161055023483069</c:v>
                </c:pt>
                <c:pt idx="2">
                  <c:v>3.8669856861402598</c:v>
                </c:pt>
                <c:pt idx="3">
                  <c:v>10.667623911814522</c:v>
                </c:pt>
                <c:pt idx="4">
                  <c:v>4.1722596534847494</c:v>
                </c:pt>
                <c:pt idx="5">
                  <c:v>0.79219108863915655</c:v>
                </c:pt>
                <c:pt idx="6">
                  <c:v>2.7415333397603368</c:v>
                </c:pt>
                <c:pt idx="7">
                  <c:v>1.6330392666686493</c:v>
                </c:pt>
                <c:pt idx="8">
                  <c:v>13.866319511671392</c:v>
                </c:pt>
                <c:pt idx="9">
                  <c:v>12.704069144385588</c:v>
                </c:pt>
                <c:pt idx="10">
                  <c:v>5.2338163143075995</c:v>
                </c:pt>
                <c:pt idx="11">
                  <c:v>23.243991662589409</c:v>
                </c:pt>
                <c:pt idx="12">
                  <c:v>3.7263872871448869</c:v>
                </c:pt>
                <c:pt idx="13">
                  <c:v>5.57850766861403</c:v>
                </c:pt>
                <c:pt idx="14">
                  <c:v>0.77028623508744454</c:v>
                </c:pt>
                <c:pt idx="15">
                  <c:v>3.9010127313302698</c:v>
                </c:pt>
                <c:pt idx="16">
                  <c:v>2.9891761305714373</c:v>
                </c:pt>
                <c:pt idx="17">
                  <c:v>31.421885988045506</c:v>
                </c:pt>
                <c:pt idx="18">
                  <c:v>9.3918335317237318</c:v>
                </c:pt>
                <c:pt idx="19">
                  <c:v>54.967678648174328</c:v>
                </c:pt>
                <c:pt idx="20">
                  <c:v>8.6599616520698213</c:v>
                </c:pt>
                <c:pt idx="21">
                  <c:v>4.5159376343566811</c:v>
                </c:pt>
                <c:pt idx="22">
                  <c:v>6.7946872358502963</c:v>
                </c:pt>
                <c:pt idx="23">
                  <c:v>1.7903424381976834</c:v>
                </c:pt>
                <c:pt idx="24">
                  <c:v>9.723750616145086</c:v>
                </c:pt>
                <c:pt idx="25">
                  <c:v>3.4667863659654077</c:v>
                </c:pt>
                <c:pt idx="26">
                  <c:v>6.6321480491845444</c:v>
                </c:pt>
                <c:pt idx="27">
                  <c:v>1.0302761245988505</c:v>
                </c:pt>
                <c:pt idx="28">
                  <c:v>5.2325063434851895</c:v>
                </c:pt>
                <c:pt idx="29">
                  <c:v>1.0160727539161611</c:v>
                </c:pt>
                <c:pt idx="30">
                  <c:v>3.4570254213828129</c:v>
                </c:pt>
                <c:pt idx="31">
                  <c:v>5.1485714938877205</c:v>
                </c:pt>
                <c:pt idx="32">
                  <c:v>6.383953222407353</c:v>
                </c:pt>
                <c:pt idx="33">
                  <c:v>11.029626958210509</c:v>
                </c:pt>
                <c:pt idx="34">
                  <c:v>7.3561253008092891</c:v>
                </c:pt>
                <c:pt idx="35">
                  <c:v>3.2936508052923816</c:v>
                </c:pt>
                <c:pt idx="36">
                  <c:v>7.5432440186578766</c:v>
                </c:pt>
                <c:pt idx="37">
                  <c:v>7.2958813936056188</c:v>
                </c:pt>
                <c:pt idx="38">
                  <c:v>2.5469004914747475</c:v>
                </c:pt>
                <c:pt idx="39">
                  <c:v>6.8609339150139821</c:v>
                </c:pt>
                <c:pt idx="40">
                  <c:v>2.0394594495174263</c:v>
                </c:pt>
                <c:pt idx="41">
                  <c:v>6.3731915012522746</c:v>
                </c:pt>
                <c:pt idx="42">
                  <c:v>2.4917252916504018</c:v>
                </c:pt>
                <c:pt idx="43">
                  <c:v>11.675926277681612</c:v>
                </c:pt>
                <c:pt idx="44">
                  <c:v>5.8996896800575254</c:v>
                </c:pt>
                <c:pt idx="45">
                  <c:v>3.4891821950262263</c:v>
                </c:pt>
                <c:pt idx="46">
                  <c:v>9.4074796882563891</c:v>
                </c:pt>
                <c:pt idx="47">
                  <c:v>2.1027147488645679</c:v>
                </c:pt>
                <c:pt idx="48">
                  <c:v>1.1036018171845361</c:v>
                </c:pt>
                <c:pt idx="49">
                  <c:v>2.8128456630477374</c:v>
                </c:pt>
                <c:pt idx="50">
                  <c:v>4.9289925544777375</c:v>
                </c:pt>
                <c:pt idx="51">
                  <c:v>2.4973003811869519</c:v>
                </c:pt>
                <c:pt idx="52">
                  <c:v>0.65995700604741014</c:v>
                </c:pt>
                <c:pt idx="53">
                  <c:v>3.1235127745476241</c:v>
                </c:pt>
                <c:pt idx="54">
                  <c:v>5.1029009683791058</c:v>
                </c:pt>
                <c:pt idx="55">
                  <c:v>8.1501330749657068</c:v>
                </c:pt>
                <c:pt idx="56">
                  <c:v>4.5777865819461745</c:v>
                </c:pt>
                <c:pt idx="57">
                  <c:v>10.163108262601595</c:v>
                </c:pt>
                <c:pt idx="58">
                  <c:v>3.2698969029319001</c:v>
                </c:pt>
                <c:pt idx="59">
                  <c:v>31.889168137218064</c:v>
                </c:pt>
                <c:pt idx="60">
                  <c:v>1.6298672533134728</c:v>
                </c:pt>
                <c:pt idx="61">
                  <c:v>1.9015488806450234</c:v>
                </c:pt>
                <c:pt idx="62">
                  <c:v>10.175360935343885</c:v>
                </c:pt>
                <c:pt idx="63">
                  <c:v>2.9464417509136736</c:v>
                </c:pt>
                <c:pt idx="64">
                  <c:v>25.77654466603056</c:v>
                </c:pt>
                <c:pt idx="65">
                  <c:v>3.9665577976425466</c:v>
                </c:pt>
                <c:pt idx="66">
                  <c:v>5.1114244980577075</c:v>
                </c:pt>
                <c:pt idx="67">
                  <c:v>3.7299223135600603</c:v>
                </c:pt>
                <c:pt idx="68">
                  <c:v>15.426282208877298</c:v>
                </c:pt>
                <c:pt idx="69">
                  <c:v>2.619844137495734</c:v>
                </c:pt>
                <c:pt idx="70">
                  <c:v>15.290840879153292</c:v>
                </c:pt>
                <c:pt idx="71">
                  <c:v>13.377043950565353</c:v>
                </c:pt>
                <c:pt idx="72">
                  <c:v>13.306291079569737</c:v>
                </c:pt>
                <c:pt idx="73">
                  <c:v>1.2026535455913936</c:v>
                </c:pt>
                <c:pt idx="74">
                  <c:v>8.973277868743148</c:v>
                </c:pt>
                <c:pt idx="75">
                  <c:v>19.043325915119532</c:v>
                </c:pt>
                <c:pt idx="76">
                  <c:v>5.0996664798685147</c:v>
                </c:pt>
                <c:pt idx="77">
                  <c:v>5.071025610363268</c:v>
                </c:pt>
                <c:pt idx="78">
                  <c:v>4.9175045765207024</c:v>
                </c:pt>
                <c:pt idx="79">
                  <c:v>14.522081357173025</c:v>
                </c:pt>
                <c:pt idx="80">
                  <c:v>3.4839743787851738</c:v>
                </c:pt>
                <c:pt idx="81">
                  <c:v>3.3479652566702667</c:v>
                </c:pt>
                <c:pt idx="82">
                  <c:v>20.449029065547414</c:v>
                </c:pt>
                <c:pt idx="83">
                  <c:v>1.0870291378425028</c:v>
                </c:pt>
                <c:pt idx="84">
                  <c:v>3.8414607693195979</c:v>
                </c:pt>
                <c:pt idx="85">
                  <c:v>10.46342024685802</c:v>
                </c:pt>
                <c:pt idx="86">
                  <c:v>15.62374875121378</c:v>
                </c:pt>
                <c:pt idx="87">
                  <c:v>6.1817727453252589</c:v>
                </c:pt>
                <c:pt idx="88">
                  <c:v>3.5027958560225496</c:v>
                </c:pt>
                <c:pt idx="89">
                  <c:v>2.3444787455065197</c:v>
                </c:pt>
                <c:pt idx="90">
                  <c:v>17.085499114373498</c:v>
                </c:pt>
                <c:pt idx="91">
                  <c:v>3.2314101768653738</c:v>
                </c:pt>
                <c:pt idx="92">
                  <c:v>8.1418831406303074</c:v>
                </c:pt>
                <c:pt idx="93">
                  <c:v>4.7086448859687939</c:v>
                </c:pt>
                <c:pt idx="94">
                  <c:v>5.4064924574071576</c:v>
                </c:pt>
                <c:pt idx="95">
                  <c:v>17.389862765060993</c:v>
                </c:pt>
                <c:pt idx="96">
                  <c:v>2.4077703334669085</c:v>
                </c:pt>
                <c:pt idx="97">
                  <c:v>1.4409840870242987</c:v>
                </c:pt>
                <c:pt idx="98">
                  <c:v>4.2165279996973801</c:v>
                </c:pt>
                <c:pt idx="99">
                  <c:v>2.2995449096848977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F592D67-FC0B-47C2-B8BC-34FB4D609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220552"/>
        <c:axId val="1258222600"/>
      </c:scatterChart>
      <c:valAx>
        <c:axId val="1258220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22600"/>
        <c:crosses val="autoZero"/>
        <c:crossBetween val="midCat"/>
      </c:valAx>
      <c:valAx>
        <c:axId val="1258222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2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2.xlsx]Sheet9!PivotTable9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'Coffee Product: Cappuccino', 'Spike Ratio' has an outlier at 'Year': </a:t>
            </a:r>
            <a:r>
              <a:rPr lang="en-US">
                <a:solidFill>
                  <a:srgbClr val="DD5A13"/>
                </a:solidFill>
              </a:rPr>
              <a:t>2020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Sheet9!$D$55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8C8-409C-B511-48A69A4AD6E3}"/>
              </c:ext>
            </c:extLst>
          </c:dPt>
          <c:cat>
            <c:strRef>
              <c:f>Sheet9!$C$56:$C$61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Sheet9!$D$56:$D$61</c:f>
              <c:numCache>
                <c:formatCode>0.00</c:formatCode>
                <c:ptCount val="5"/>
                <c:pt idx="0">
                  <c:v>10.342852765003657</c:v>
                </c:pt>
                <c:pt idx="1">
                  <c:v>6.3124067735395304</c:v>
                </c:pt>
                <c:pt idx="2">
                  <c:v>2.1124194741414999</c:v>
                </c:pt>
                <c:pt idx="3">
                  <c:v>9.7602843937290658</c:v>
                </c:pt>
                <c:pt idx="4">
                  <c:v>8.9387025926736037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C8-409C-B511-48A69A4AD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679816"/>
        <c:axId val="1530681864"/>
      </c:lineChart>
      <c:catAx>
        <c:axId val="1530679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81864"/>
        <c:crosses val="autoZero"/>
        <c:auto val="1"/>
        <c:lblAlgn val="ctr"/>
        <c:lblOffset val="100"/>
        <c:noMultiLvlLbl val="0"/>
      </c:catAx>
      <c:valAx>
        <c:axId val="15306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Spike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679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2.xlsx]Sheet9!PivotTable10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 'Store: Store C', </a:t>
            </a:r>
            <a:r>
              <a:rPr lang="en-US">
                <a:solidFill>
                  <a:srgbClr val="DD5A13"/>
                </a:solidFill>
              </a:rPr>
              <a:t>2020</a:t>
            </a:r>
            <a:r>
              <a:rPr lang="en-US"/>
              <a:t> has minimum 'Sales'.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Sheet9!$G$55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D75-4B11-8A55-31A48A041B4A}"/>
              </c:ext>
            </c:extLst>
          </c:dPt>
          <c:cat>
            <c:strRef>
              <c:f>Sheet9!$F$56:$F$61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Sheet9!$G$56:$G$61</c:f>
              <c:numCache>
                <c:formatCode>_-* #,##0_-;\-* #,##0_-;_-* "-"??_-;_-@_-</c:formatCode>
                <c:ptCount val="5"/>
                <c:pt idx="0">
                  <c:v>28715.67211121165</c:v>
                </c:pt>
                <c:pt idx="1">
                  <c:v>20654.030743419829</c:v>
                </c:pt>
                <c:pt idx="2">
                  <c:v>17623.539377086658</c:v>
                </c:pt>
                <c:pt idx="3">
                  <c:v>20439.189653696092</c:v>
                </c:pt>
                <c:pt idx="4">
                  <c:v>21031.848322208331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75-4B11-8A55-31A48A041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315464"/>
        <c:axId val="1567317512"/>
      </c:lineChart>
      <c:catAx>
        <c:axId val="1567315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17512"/>
        <c:crosses val="autoZero"/>
        <c:auto val="1"/>
        <c:lblAlgn val="ctr"/>
        <c:lblOffset val="100"/>
        <c:noMultiLvlLbl val="0"/>
      </c:catAx>
      <c:valAx>
        <c:axId val="156731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31546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Line. 'Cost' by 'Year'&#10;&#10;Description automatically generated">
          <a:extLst>
            <a:ext uri="{FF2B5EF4-FFF2-40B4-BE49-F238E27FC236}">
              <a16:creationId xmlns:a16="http://schemas.microsoft.com/office/drawing/2014/main" id="{7199519A-622B-5584-9C85-64B3844B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2" name="Chart 1" descr="Chart type: Line. 'Cost' by 'Year' and 'Store'&#10;&#10;Description automatically generated">
          <a:extLst>
            <a:ext uri="{FF2B5EF4-FFF2-40B4-BE49-F238E27FC236}">
              <a16:creationId xmlns:a16="http://schemas.microsoft.com/office/drawing/2014/main" id="{DD47B9C8-4914-CE2E-677A-4A6ACE405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2" name="Chart 1" descr="Chart type: Clustered Column. 'Sales' and 'Cost' by 'Year'&#10;&#10;Description automatically generated">
          <a:extLst>
            <a:ext uri="{FF2B5EF4-FFF2-40B4-BE49-F238E27FC236}">
              <a16:creationId xmlns:a16="http://schemas.microsoft.com/office/drawing/2014/main" id="{48ABCF76-31E8-170D-B0D6-BC69AD1E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2" name="Chart 1" descr="Chart type: Scatter. 'Sales' and 'Spike Ratio' appear to form a cluster with 1 outlier.&#10;&#10;Description automatically generated">
          <a:extLst>
            <a:ext uri="{FF2B5EF4-FFF2-40B4-BE49-F238E27FC236}">
              <a16:creationId xmlns:a16="http://schemas.microsoft.com/office/drawing/2014/main" id="{9A8D1FDC-5F28-5A26-B1CF-6D9E308D2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3" name="Chart 2" descr="Chart type: Scatter. 'Spike Ratio' and 'Margin' appear to form a cluster with 1 outlier.&#10;&#10;Description automatically generated">
          <a:extLst>
            <a:ext uri="{FF2B5EF4-FFF2-40B4-BE49-F238E27FC236}">
              <a16:creationId xmlns:a16="http://schemas.microsoft.com/office/drawing/2014/main" id="{539AD30C-2E3A-8447-2DF1-F545B249DF07}"/>
            </a:ext>
            <a:ext uri="{147F2762-F138-4A5C-976F-8EAC2B608ADB}">
              <a16:predDERef xmlns:a16="http://schemas.microsoft.com/office/drawing/2014/main" pred="{9A8D1FDC-5F28-5A26-B1CF-6D9E308D2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4" name="Chart 3" descr="Chart type: Scatter. 'Profit' and 'Spike Ratio' appear to form a cluster with 1 outlier.&#10;&#10;Description automatically generated">
          <a:extLst>
            <a:ext uri="{FF2B5EF4-FFF2-40B4-BE49-F238E27FC236}">
              <a16:creationId xmlns:a16="http://schemas.microsoft.com/office/drawing/2014/main" id="{55EB2FA9-3957-A99B-D445-BDA6BAC64832}"/>
            </a:ext>
            <a:ext uri="{147F2762-F138-4A5C-976F-8EAC2B608ADB}">
              <a16:predDERef xmlns:a16="http://schemas.microsoft.com/office/drawing/2014/main" pred="{539AD30C-2E3A-8447-2DF1-F545B249D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5" name="Chart 4" descr="Chart type: Scatter. 'Number of Customers' and 'Spike Ratio' appear to form a cluster with 1 outlier.&#10;&#10;Description automatically generated">
          <a:extLst>
            <a:ext uri="{FF2B5EF4-FFF2-40B4-BE49-F238E27FC236}">
              <a16:creationId xmlns:a16="http://schemas.microsoft.com/office/drawing/2014/main" id="{E265AACF-B3A5-F9A6-264E-48346CD4109C}"/>
            </a:ext>
            <a:ext uri="{147F2762-F138-4A5C-976F-8EAC2B608ADB}">
              <a16:predDERef xmlns:a16="http://schemas.microsoft.com/office/drawing/2014/main" pred="{55EB2FA9-3957-A99B-D445-BDA6BAC64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2</xdr:row>
      <xdr:rowOff>0</xdr:rowOff>
    </xdr:from>
    <xdr:to>
      <xdr:col>7</xdr:col>
      <xdr:colOff>0</xdr:colOff>
      <xdr:row>16</xdr:row>
      <xdr:rowOff>0</xdr:rowOff>
    </xdr:to>
    <xdr:graphicFrame macro="">
      <xdr:nvGraphicFramePr>
        <xdr:cNvPr id="6" name="Chart 5" descr="Chart type: Line. For 'Coffee Product: Cappuccino', 'Spike Ratio' has an outlier at 'Year': 2020.&#10;&#10;Description automatically generated">
          <a:extLst>
            <a:ext uri="{FF2B5EF4-FFF2-40B4-BE49-F238E27FC236}">
              <a16:creationId xmlns:a16="http://schemas.microsoft.com/office/drawing/2014/main" id="{75E3EB23-16B6-7BA5-A4FD-E17EA2EFDEF7}"/>
            </a:ext>
            <a:ext uri="{147F2762-F138-4A5C-976F-8EAC2B608ADB}">
              <a16:predDERef xmlns:a16="http://schemas.microsoft.com/office/drawing/2014/main" pred="{E265AACF-B3A5-F9A6-264E-48346CD41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7" name="Chart 6" descr="Chart type: Line. For 'Store: Store C', 2020 has minimum 'Sales'.&#10;&#10;Description automatically generated">
          <a:extLst>
            <a:ext uri="{FF2B5EF4-FFF2-40B4-BE49-F238E27FC236}">
              <a16:creationId xmlns:a16="http://schemas.microsoft.com/office/drawing/2014/main" id="{DF135831-C635-88B7-CF04-659CE37E7FEE}"/>
            </a:ext>
            <a:ext uri="{147F2762-F138-4A5C-976F-8EAC2B608ADB}">
              <a16:predDERef xmlns:a16="http://schemas.microsoft.com/office/drawing/2014/main" pred="{75E3EB23-16B6-7BA5-A4FD-E17EA2EFD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46.319448726848" createdVersion="8" refreshedVersion="8" minRefreshableVersion="3" recordCount="100" xr:uid="{BBFD13A6-BD44-423E-91D7-83282CA17310}">
  <cacheSource type="worksheet">
    <worksheetSource name="Table1"/>
  </cacheSource>
  <cacheFields count="10">
    <cacheField name="Store" numFmtId="0">
      <sharedItems count="5">
        <s v="Store A"/>
        <s v="Store B"/>
        <s v="Store C"/>
        <s v="Store D"/>
        <s v="Store E"/>
      </sharedItems>
    </cacheField>
    <cacheField name="Coffee Product" numFmtId="0">
      <sharedItems count="4">
        <s v="Mocha"/>
        <s v="Cappuccino"/>
        <s v="Latte"/>
        <s v="Espresso"/>
      </sharedItems>
    </cacheField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Number of Customers" numFmtId="0">
      <sharedItems containsSemiMixedTypes="0" containsString="0" containsNumber="1" containsInteger="1" minValue="104" maxValue="999"/>
    </cacheField>
    <cacheField name="Sales" numFmtId="165">
      <sharedItems containsSemiMixedTypes="0" containsString="0" containsNumber="1" minValue="1023.35521945281" maxValue="9975.2998129155494"/>
    </cacheField>
    <cacheField name="Cost" numFmtId="165">
      <sharedItems containsSemiMixedTypes="0" containsString="0" containsNumber="1" minValue="289.97854839553702" maxValue="6178.8506761287999"/>
    </cacheField>
    <cacheField name="Rating" numFmtId="164">
      <sharedItems containsSemiMixedTypes="0" containsString="0" containsNumber="1" minValue="1.1313866809737501" maxValue="4.9549151278217698"/>
    </cacheField>
    <cacheField name="Profit" numFmtId="165">
      <sharedItems containsSemiMixedTypes="0" containsString="0" containsNumber="1" minValue="436.9857134126861" maxValue="7348.7691755084797"/>
    </cacheField>
    <cacheField name="Spike Ratio" numFmtId="2">
      <sharedItems containsSemiMixedTypes="0" containsString="0" containsNumber="1" minValue="0.65995700604741014" maxValue="54.967678648174328"/>
    </cacheField>
    <cacheField name="Margin" numFmtId="165">
      <sharedItems containsSemiMixedTypes="0" containsString="0" containsNumber="1" minValue="436.9857134126861" maxValue="7348.76917550847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534"/>
    <n v="9316.3758319668905"/>
    <n v="6178.8506761287999"/>
    <n v="1.4570692002227501"/>
    <n v="3137.5251558380905"/>
    <n v="5.8755152731050382"/>
    <n v="3137.5251558380905"/>
  </r>
  <r>
    <x v="0"/>
    <x v="1"/>
    <x v="0"/>
    <n v="306"/>
    <n v="8814.7099633202797"/>
    <n v="3563.4271261344602"/>
    <n v="2.51722279354219"/>
    <n v="5251.2828371858195"/>
    <n v="17.161055023483069"/>
    <n v="5251.2828371858195"/>
  </r>
  <r>
    <x v="0"/>
    <x v="2"/>
    <x v="0"/>
    <n v="924"/>
    <n v="7190.0624538647398"/>
    <n v="3616.9676798711398"/>
    <n v="4.3499631560099603"/>
    <n v="3573.0947739936"/>
    <n v="3.8669856861402598"/>
    <n v="3573.0947739936"/>
  </r>
  <r>
    <x v="0"/>
    <x v="3"/>
    <x v="0"/>
    <n v="153"/>
    <n v="2158.7355846967898"/>
    <n v="526.58912618916804"/>
    <n v="4.6427447930228496"/>
    <n v="1632.1464585076219"/>
    <n v="10.667623911814522"/>
    <n v="1632.1464585076219"/>
  </r>
  <r>
    <x v="1"/>
    <x v="2"/>
    <x v="0"/>
    <n v="897"/>
    <n v="7746.5460880772798"/>
    <n v="4004.02917890146"/>
    <n v="1.9929057710286"/>
    <n v="3742.5169091758198"/>
    <n v="4.1722596534847494"/>
    <n v="3742.5169091758198"/>
  </r>
  <r>
    <x v="1"/>
    <x v="3"/>
    <x v="0"/>
    <n v="837"/>
    <n v="1561.07226260117"/>
    <n v="898.008321410196"/>
    <n v="2.9233479123562902"/>
    <n v="663.06394119097399"/>
    <n v="0.79219108863915655"/>
    <n v="663.06394119097399"/>
  </r>
  <r>
    <x v="1"/>
    <x v="1"/>
    <x v="0"/>
    <n v="407"/>
    <n v="1943.8224987923199"/>
    <n v="828.01842950986304"/>
    <n v="4.1219828301843497"/>
    <n v="1115.804069282457"/>
    <n v="2.7415333397603368"/>
    <n v="1115.804069282457"/>
  </r>
  <r>
    <x v="1"/>
    <x v="0"/>
    <x v="0"/>
    <n v="641"/>
    <n v="1802.8389584085"/>
    <n v="756.06078847389597"/>
    <n v="4.9021652627310202"/>
    <n v="1046.7781699346042"/>
    <n v="1.6330392666686493"/>
    <n v="1046.7781699346042"/>
  </r>
  <r>
    <x v="2"/>
    <x v="3"/>
    <x v="0"/>
    <n v="232"/>
    <n v="4195.9387295137403"/>
    <n v="978.95260280597699"/>
    <n v="1.7378514856754199"/>
    <n v="3216.9861267077631"/>
    <n v="13.866319511671392"/>
    <n v="3216.9861267077631"/>
  </r>
  <r>
    <x v="2"/>
    <x v="0"/>
    <x v="0"/>
    <n v="304"/>
    <n v="9403.2264138388691"/>
    <n v="5541.1893939456504"/>
    <n v="3.1378235650289801"/>
    <n v="3862.0370198932187"/>
    <n v="12.704069144385588"/>
    <n v="3862.0370198932187"/>
  </r>
  <r>
    <x v="2"/>
    <x v="2"/>
    <x v="0"/>
    <n v="500"/>
    <n v="6019.6803935539301"/>
    <n v="3402.7722364001302"/>
    <n v="4.1991280882970701"/>
    <n v="2616.9081571537999"/>
    <n v="5.2338163143075995"/>
    <n v="2616.9081571537999"/>
  </r>
  <r>
    <x v="2"/>
    <x v="1"/>
    <x v="0"/>
    <n v="168"/>
    <n v="9096.8265743051106"/>
    <n v="5191.8359749900901"/>
    <n v="4.3462592531693298"/>
    <n v="3904.9905993150205"/>
    <n v="23.243991662589409"/>
    <n v="3904.9905993150205"/>
  </r>
  <r>
    <x v="3"/>
    <x v="3"/>
    <x v="0"/>
    <n v="982"/>
    <n v="8657.3576605253093"/>
    <n v="4998.0453445490302"/>
    <n v="2.3374512452419198"/>
    <n v="3659.312315976279"/>
    <n v="3.7263872871448869"/>
    <n v="3659.312315976279"/>
  </r>
  <r>
    <x v="3"/>
    <x v="1"/>
    <x v="0"/>
    <n v="459"/>
    <n v="6183.9857602509401"/>
    <n v="3623.4507403571001"/>
    <n v="2.63193798145937"/>
    <n v="2560.5350198938399"/>
    <n v="5.57850766861403"/>
    <n v="2560.5350198938399"/>
  </r>
  <r>
    <x v="3"/>
    <x v="2"/>
    <x v="0"/>
    <n v="947"/>
    <n v="1464.7193008706099"/>
    <n v="735.25823624279997"/>
    <n v="3.1063138666371701"/>
    <n v="729.46106462780995"/>
    <n v="0.77028623508744454"/>
    <n v="729.46106462780995"/>
  </r>
  <r>
    <x v="3"/>
    <x v="0"/>
    <x v="0"/>
    <n v="963"/>
    <n v="7506.0648695959799"/>
    <n v="3749.38960932493"/>
    <n v="3.3801959188016801"/>
    <n v="3756.6752602710499"/>
    <n v="3.9010127313302698"/>
    <n v="3756.6752602710499"/>
  </r>
  <r>
    <x v="4"/>
    <x v="1"/>
    <x v="0"/>
    <n v="633"/>
    <n v="5554.9356072341197"/>
    <n v="3662.7871165823999"/>
    <n v="1.34770005980139"/>
    <n v="1892.1484906517198"/>
    <n v="2.9891761305714373"/>
    <n v="1892.1484906517198"/>
  </r>
  <r>
    <x v="4"/>
    <x v="3"/>
    <x v="0"/>
    <n v="160"/>
    <n v="8547.2430283236208"/>
    <n v="3519.7412702363399"/>
    <n v="3.8832523852420202"/>
    <n v="5027.5017580872809"/>
    <n v="31.421885988045506"/>
    <n v="5027.5017580872809"/>
  </r>
  <r>
    <x v="4"/>
    <x v="0"/>
    <x v="0"/>
    <n v="332"/>
    <n v="5088.4117499718895"/>
    <n v="1970.3230174396101"/>
    <n v="4.50577630350117"/>
    <n v="3118.0887325322792"/>
    <n v="9.3918335317237318"/>
    <n v="3118.0887325322792"/>
  </r>
  <r>
    <x v="4"/>
    <x v="2"/>
    <x v="0"/>
    <n v="104"/>
    <n v="7626.2246532863901"/>
    <n v="1909.5860738762599"/>
    <n v="4.8505972742194903"/>
    <n v="5716.6385794101298"/>
    <n v="54.967678648174328"/>
    <n v="5716.6385794101298"/>
  </r>
  <r>
    <x v="0"/>
    <x v="3"/>
    <x v="1"/>
    <n v="335"/>
    <n v="3970.8956197913899"/>
    <n v="1069.8084663479999"/>
    <n v="1.4912431273829301"/>
    <n v="2901.08715344339"/>
    <n v="8.6599616520698213"/>
    <n v="2901.08715344339"/>
  </r>
  <r>
    <x v="0"/>
    <x v="2"/>
    <x v="1"/>
    <n v="500"/>
    <n v="5604.9131219253504"/>
    <n v="3346.9443047470099"/>
    <n v="2.32858565061975"/>
    <n v="2257.9688171783405"/>
    <n v="4.5159376343566811"/>
    <n v="2257.9688171783405"/>
  </r>
  <r>
    <x v="0"/>
    <x v="0"/>
    <x v="1"/>
    <n v="202"/>
    <n v="3125.0487980566299"/>
    <n v="1752.5219764148701"/>
    <n v="2.6580183368145098"/>
    <n v="1372.5268216417599"/>
    <n v="6.7946872358502963"/>
    <n v="1372.5268216417599"/>
  </r>
  <r>
    <x v="0"/>
    <x v="1"/>
    <x v="1"/>
    <n v="328"/>
    <n v="1760.65306912613"/>
    <n v="1173.4207493972899"/>
    <n v="3.97699860737315"/>
    <n v="587.23231972884014"/>
    <n v="1.7903424381976834"/>
    <n v="587.23231972884014"/>
  </r>
  <r>
    <x v="1"/>
    <x v="1"/>
    <x v="1"/>
    <n v="348"/>
    <n v="7636.64685484437"/>
    <n v="4252.7816404258801"/>
    <n v="2.1103486905176698"/>
    <n v="3383.8652144184898"/>
    <n v="9.723750616145086"/>
    <n v="3383.8652144184898"/>
  </r>
  <r>
    <x v="1"/>
    <x v="0"/>
    <x v="1"/>
    <n v="858"/>
    <n v="5818.02007613971"/>
    <n v="2843.5173741413901"/>
    <n v="2.83595595206805"/>
    <n v="2974.5027019983199"/>
    <n v="3.4667863659654077"/>
    <n v="2974.5027019983199"/>
  </r>
  <r>
    <x v="2"/>
    <x v="2"/>
    <x v="1"/>
    <n v="429"/>
    <n v="6278.8189119468298"/>
    <n v="3433.6273988466601"/>
    <n v="2.3975479961973298"/>
    <n v="2845.1915131001697"/>
    <n v="6.6321480491845444"/>
    <n v="2845.1915131001697"/>
  </r>
  <r>
    <x v="1"/>
    <x v="3"/>
    <x v="1"/>
    <n v="905"/>
    <n v="2329.6518271560399"/>
    <n v="1397.2519343940801"/>
    <n v="4.6738188997572001"/>
    <n v="932.39989276195979"/>
    <n v="1.0302761245988505"/>
    <n v="932.39989276195979"/>
  </r>
  <r>
    <x v="2"/>
    <x v="3"/>
    <x v="1"/>
    <n v="896"/>
    <n v="6839.4055626241798"/>
    <n v="2151.0798788614502"/>
    <n v="2.1983836470659002"/>
    <n v="4688.3256837627296"/>
    <n v="5.2325063434851895"/>
    <n v="4688.3256837627296"/>
  </r>
  <r>
    <x v="1"/>
    <x v="2"/>
    <x v="1"/>
    <n v="434"/>
    <n v="1274.2493746023399"/>
    <n v="833.27379940272601"/>
    <n v="3.31052781636618"/>
    <n v="440.9755751996139"/>
    <n v="1.0160727539161611"/>
    <n v="440.9755751996139"/>
  </r>
  <r>
    <x v="2"/>
    <x v="0"/>
    <x v="1"/>
    <n v="225"/>
    <n v="1067.8092682066699"/>
    <n v="289.97854839553702"/>
    <n v="2.9243517935503398"/>
    <n v="777.83071981113289"/>
    <n v="3.4570254213828129"/>
    <n v="777.83071981113289"/>
  </r>
  <r>
    <x v="2"/>
    <x v="1"/>
    <x v="1"/>
    <n v="645"/>
    <n v="6467.9970006421499"/>
    <n v="3147.16838708457"/>
    <n v="3.3498144169362898"/>
    <n v="3320.82861355758"/>
    <n v="5.1485714938877205"/>
    <n v="3320.82861355758"/>
  </r>
  <r>
    <x v="3"/>
    <x v="3"/>
    <x v="1"/>
    <n v="210"/>
    <n v="1790.98862086129"/>
    <n v="450.35844415574599"/>
    <n v="1.30201345521555"/>
    <n v="1340.630176705544"/>
    <n v="6.383953222407353"/>
    <n v="1340.630176705544"/>
  </r>
  <r>
    <x v="3"/>
    <x v="0"/>
    <x v="1"/>
    <n v="294"/>
    <n v="8387.7532583801694"/>
    <n v="5145.0429326662797"/>
    <n v="2.3570849835847598"/>
    <n v="3242.7103257138897"/>
    <n v="11.029626958210509"/>
    <n v="3242.7103257138897"/>
  </r>
  <r>
    <x v="3"/>
    <x v="1"/>
    <x v="1"/>
    <n v="999"/>
    <n v="9256.5605177697798"/>
    <n v="1907.7913422613001"/>
    <n v="3.2068903810373501"/>
    <n v="7348.7691755084797"/>
    <n v="7.3561253008092891"/>
    <n v="7348.7691755084797"/>
  </r>
  <r>
    <x v="3"/>
    <x v="2"/>
    <x v="1"/>
    <n v="194"/>
    <n v="1164.18233285524"/>
    <n v="525.214076628518"/>
    <n v="4.2029990859444801"/>
    <n v="638.96825622672202"/>
    <n v="3.2936508052923816"/>
    <n v="638.96825622672202"/>
  </r>
  <r>
    <x v="4"/>
    <x v="1"/>
    <x v="1"/>
    <n v="504"/>
    <n v="9388.1290803123993"/>
    <n v="5586.3340949088297"/>
    <n v="3.5329630996438399"/>
    <n v="3801.7949854035696"/>
    <n v="7.5432440186578766"/>
    <n v="3801.7949854035696"/>
  </r>
  <r>
    <x v="4"/>
    <x v="0"/>
    <x v="1"/>
    <n v="623"/>
    <n v="5937.4280614433701"/>
    <n v="1392.09395322707"/>
    <n v="3.5717022544570098"/>
    <n v="4545.3341082163006"/>
    <n v="7.2958813936056188"/>
    <n v="4545.3341082163006"/>
  </r>
  <r>
    <x v="4"/>
    <x v="3"/>
    <x v="1"/>
    <n v="733"/>
    <n v="2845.6980413451302"/>
    <n v="978.81998109413996"/>
    <n v="4.2212598694316199"/>
    <n v="1866.8780602509901"/>
    <n v="2.5469004914747475"/>
    <n v="1866.8780602509901"/>
  </r>
  <r>
    <x v="4"/>
    <x v="2"/>
    <x v="1"/>
    <n v="565"/>
    <n v="5768.5602086300496"/>
    <n v="1892.1325466471501"/>
    <n v="4.7776389023090902"/>
    <n v="3876.4276619828997"/>
    <n v="6.8609339150139821"/>
    <n v="3876.4276619828997"/>
  </r>
  <r>
    <x v="0"/>
    <x v="1"/>
    <x v="2"/>
    <n v="952"/>
    <n v="6375.5027402988699"/>
    <n v="4433.9373443582799"/>
    <n v="1.82231923350255"/>
    <n v="1941.56539594059"/>
    <n v="2.0394594495174263"/>
    <n v="1941.56539594059"/>
  </r>
  <r>
    <x v="0"/>
    <x v="3"/>
    <x v="2"/>
    <n v="488"/>
    <n v="3894.2448821202602"/>
    <n v="784.12742950915003"/>
    <n v="1.9436241383803201"/>
    <n v="3110.1174526111099"/>
    <n v="6.3731915012522746"/>
    <n v="3110.1174526111099"/>
  </r>
  <r>
    <x v="0"/>
    <x v="2"/>
    <x v="2"/>
    <n v="723"/>
    <n v="2412.7991444457398"/>
    <n v="611.28175858249904"/>
    <n v="2.2457770561825598"/>
    <n v="1801.5173858632406"/>
    <n v="2.4917252916504018"/>
    <n v="1801.5173858632406"/>
  </r>
  <r>
    <x v="0"/>
    <x v="0"/>
    <x v="2"/>
    <n v="521"/>
    <n v="7839.5986804382701"/>
    <n v="1756.4410897661501"/>
    <n v="4.4540725624518203"/>
    <n v="6083.15759067212"/>
    <n v="11.675926277681612"/>
    <n v="6083.15759067212"/>
  </r>
  <r>
    <x v="1"/>
    <x v="2"/>
    <x v="2"/>
    <n v="958"/>
    <n v="8804.9348296725093"/>
    <n v="3153.0321161774"/>
    <n v="1.6620532697118899"/>
    <n v="5651.9027134951093"/>
    <n v="5.8996896800575254"/>
    <n v="5651.9027134951093"/>
  </r>
  <r>
    <x v="1"/>
    <x v="1"/>
    <x v="2"/>
    <n v="265"/>
    <n v="2640.5549062836199"/>
    <n v="1715.9216246016699"/>
    <n v="1.88038885632438"/>
    <n v="924.63328168194994"/>
    <n v="3.4891821950262263"/>
    <n v="924.63328168194994"/>
  </r>
  <r>
    <x v="1"/>
    <x v="0"/>
    <x v="2"/>
    <n v="205"/>
    <n v="3098.9477039482099"/>
    <n v="1170.41436785565"/>
    <n v="3.2292214755601898"/>
    <n v="1928.5333360925599"/>
    <n v="9.4074796882563891"/>
    <n v="1928.5333360925599"/>
  </r>
  <r>
    <x v="1"/>
    <x v="3"/>
    <x v="2"/>
    <n v="405"/>
    <n v="2198.0523572872999"/>
    <n v="1346.4528839971499"/>
    <n v="3.34827289654626"/>
    <n v="851.59947329014994"/>
    <n v="2.1027147488645679"/>
    <n v="851.59947329014994"/>
  </r>
  <r>
    <x v="2"/>
    <x v="1"/>
    <x v="2"/>
    <n v="873"/>
    <n v="3199.1783991818902"/>
    <n v="2235.7340127797902"/>
    <n v="2.17617871688388"/>
    <n v="963.44438640210001"/>
    <n v="1.1036018171845361"/>
    <n v="963.44438640210001"/>
  </r>
  <r>
    <x v="2"/>
    <x v="3"/>
    <x v="2"/>
    <n v="999"/>
    <n v="5316.2389157882499"/>
    <n v="2506.2060984035602"/>
    <n v="2.2397477050744401"/>
    <n v="2810.0328173846897"/>
    <n v="2.8128456630477374"/>
    <n v="2810.0328173846897"/>
  </r>
  <r>
    <x v="2"/>
    <x v="2"/>
    <x v="2"/>
    <n v="884"/>
    <n v="6080.1268827037702"/>
    <n v="1722.89746454545"/>
    <n v="2.8729273137655098"/>
    <n v="4357.2294181583202"/>
    <n v="4.9289925544777375"/>
    <n v="4357.2294181583202"/>
  </r>
  <r>
    <x v="2"/>
    <x v="0"/>
    <x v="2"/>
    <n v="846"/>
    <n v="3027.9951794127501"/>
    <n v="915.27905692858894"/>
    <n v="2.9880477952849902"/>
    <n v="2112.7161224841611"/>
    <n v="2.4973003811869519"/>
    <n v="2112.7161224841611"/>
  </r>
  <r>
    <x v="3"/>
    <x v="1"/>
    <x v="2"/>
    <n v="795"/>
    <n v="1047.70005757844"/>
    <n v="523.03423777074897"/>
    <n v="2.01555425617321"/>
    <n v="524.66581980769104"/>
    <n v="0.65995700604741014"/>
    <n v="524.66581980769104"/>
  </r>
  <r>
    <x v="3"/>
    <x v="0"/>
    <x v="2"/>
    <n v="766"/>
    <n v="7466.1154375289798"/>
    <n v="5073.5046522254997"/>
    <n v="3.277774071054"/>
    <n v="2392.61078530348"/>
    <n v="3.1235127745476241"/>
    <n v="2392.61078530348"/>
  </r>
  <r>
    <x v="3"/>
    <x v="3"/>
    <x v="2"/>
    <n v="860"/>
    <n v="8252.7839806702905"/>
    <n v="3864.28914786426"/>
    <n v="4.0129848829897998"/>
    <n v="4388.4948328060309"/>
    <n v="5.1029009683791058"/>
    <n v="4388.4948328060309"/>
  </r>
  <r>
    <x v="3"/>
    <x v="2"/>
    <x v="2"/>
    <n v="473"/>
    <n v="7272.6531612977897"/>
    <n v="3417.64021683901"/>
    <n v="4.9157257424638399"/>
    <n v="3855.0129444587797"/>
    <n v="8.1501330749657068"/>
    <n v="3855.0129444587797"/>
  </r>
  <r>
    <x v="4"/>
    <x v="2"/>
    <x v="2"/>
    <n v="703"/>
    <n v="7365.0708608000004"/>
    <n v="4146.8868936918398"/>
    <n v="1.5643273951108501"/>
    <n v="3218.1839671081607"/>
    <n v="4.5777865819461745"/>
    <n v="3218.1839671081607"/>
  </r>
  <r>
    <x v="4"/>
    <x v="0"/>
    <x v="2"/>
    <n v="445"/>
    <n v="5940.2978190007898"/>
    <n v="1417.71464214308"/>
    <n v="3.8157845405540298"/>
    <n v="4522.58317685771"/>
    <n v="10.163108262601595"/>
    <n v="4522.58317685771"/>
  </r>
  <r>
    <x v="4"/>
    <x v="1"/>
    <x v="2"/>
    <n v="937"/>
    <n v="3885.7797294356201"/>
    <n v="821.88633138842999"/>
    <n v="3.9436184527839999"/>
    <n v="3063.8933980471902"/>
    <n v="3.2698969029319001"/>
    <n v="3063.8933980471902"/>
  </r>
  <r>
    <x v="4"/>
    <x v="3"/>
    <x v="2"/>
    <n v="150"/>
    <n v="9711.9465985380994"/>
    <n v="4928.5713779553898"/>
    <n v="4.9549151278217698"/>
    <n v="4783.3752205827095"/>
    <n v="31.889168137218064"/>
    <n v="4783.3752205827095"/>
  </r>
  <r>
    <x v="0"/>
    <x v="3"/>
    <x v="3"/>
    <n v="833"/>
    <n v="1830.6152760587099"/>
    <n v="472.93585404858698"/>
    <n v="1.66208204146915"/>
    <n v="1357.6794220101228"/>
    <n v="1.6298672533134728"/>
    <n v="1357.6794220101228"/>
  </r>
  <r>
    <x v="0"/>
    <x v="2"/>
    <x v="3"/>
    <n v="866"/>
    <n v="4395.5736871786503"/>
    <n v="2748.8323565400601"/>
    <n v="1.9095824835084501"/>
    <n v="1646.7413306385902"/>
    <n v="1.9015488806450234"/>
    <n v="1646.7413306385902"/>
  </r>
  <r>
    <x v="0"/>
    <x v="1"/>
    <x v="3"/>
    <n v="677"/>
    <n v="9876.3129628013303"/>
    <n v="2987.5936095735201"/>
    <n v="4.1511595548579603"/>
    <n v="6888.7193532278106"/>
    <n v="10.175360935343885"/>
    <n v="6888.7193532278106"/>
  </r>
  <r>
    <x v="0"/>
    <x v="0"/>
    <x v="3"/>
    <n v="803"/>
    <n v="5781.3917857617998"/>
    <n v="3415.3990597781199"/>
    <n v="4.6918409271939296"/>
    <n v="2365.99272598368"/>
    <n v="2.9464417509136736"/>
    <n v="2365.99272598368"/>
  </r>
  <r>
    <x v="1"/>
    <x v="3"/>
    <x v="3"/>
    <n v="197"/>
    <n v="7184.4895486299802"/>
    <n v="2106.51024942196"/>
    <n v="1.1313866809737501"/>
    <n v="5077.9792992080202"/>
    <n v="25.77654466603056"/>
    <n v="5077.9792992080202"/>
  </r>
  <r>
    <x v="1"/>
    <x v="2"/>
    <x v="3"/>
    <n v="534"/>
    <n v="4187.3200371381199"/>
    <n v="2069.178173197"/>
    <n v="1.1355166409863799"/>
    <n v="2118.1418639411199"/>
    <n v="3.9665577976425466"/>
    <n v="2118.1418639411199"/>
  </r>
  <r>
    <x v="1"/>
    <x v="1"/>
    <x v="3"/>
    <n v="580"/>
    <n v="6075.6858281695204"/>
    <n v="3111.0596192960502"/>
    <n v="1.8507231373649"/>
    <n v="2964.6262088734702"/>
    <n v="5.1114244980577075"/>
    <n v="2964.6262088734702"/>
  </r>
  <r>
    <x v="1"/>
    <x v="0"/>
    <x v="3"/>
    <n v="662"/>
    <n v="4086.3417785043398"/>
    <n v="1617.13320692758"/>
    <n v="4.4425280715629301"/>
    <n v="2469.2085715767598"/>
    <n v="3.7299223135600603"/>
    <n v="2469.2085715767598"/>
  </r>
  <r>
    <x v="2"/>
    <x v="3"/>
    <x v="3"/>
    <n v="237"/>
    <n v="6257.7953624275196"/>
    <n v="2601.7664789236001"/>
    <n v="2.5892724618303902"/>
    <n v="3656.0288835039196"/>
    <n v="15.426282208877298"/>
    <n v="3656.0288835039196"/>
  </r>
  <r>
    <x v="2"/>
    <x v="2"/>
    <x v="3"/>
    <n v="607"/>
    <n v="4408.9536335616003"/>
    <n v="2818.7082421016898"/>
    <n v="3.4999039482041998"/>
    <n v="1590.2453914599105"/>
    <n v="2.619844137495734"/>
    <n v="1590.2453914599105"/>
  </r>
  <r>
    <x v="2"/>
    <x v="1"/>
    <x v="3"/>
    <n v="152"/>
    <n v="5484.2292806404603"/>
    <n v="3160.02146700916"/>
    <n v="3.8562367991593098"/>
    <n v="2324.2078136313003"/>
    <n v="15.290840879153292"/>
    <n v="2324.2078136313003"/>
  </r>
  <r>
    <x v="2"/>
    <x v="0"/>
    <x v="3"/>
    <n v="142"/>
    <n v="4288.2113770665101"/>
    <n v="2388.67113608623"/>
    <n v="4.0614251242649599"/>
    <n v="1899.54024098028"/>
    <n v="13.377043950565353"/>
    <n v="1899.54024098028"/>
  </r>
  <r>
    <x v="3"/>
    <x v="1"/>
    <x v="3"/>
    <n v="380"/>
    <n v="9775.60446650628"/>
    <n v="4719.2138562697801"/>
    <n v="1.7844523987738099"/>
    <n v="5056.3906102364999"/>
    <n v="13.306291079569737"/>
    <n v="5056.3906102364999"/>
  </r>
  <r>
    <x v="3"/>
    <x v="3"/>
    <x v="3"/>
    <n v="762"/>
    <n v="1500.8814042127699"/>
    <n v="584.45940247212798"/>
    <n v="2.0892074188811902"/>
    <n v="916.42200174064192"/>
    <n v="1.2026535455913936"/>
    <n v="916.42200174064192"/>
  </r>
  <r>
    <x v="3"/>
    <x v="2"/>
    <x v="3"/>
    <n v="619"/>
    <n v="9975.2998129155494"/>
    <n v="4420.8408121635402"/>
    <n v="4.3591554378262796"/>
    <n v="5554.4590007520092"/>
    <n v="8.973277868743148"/>
    <n v="5554.4590007520092"/>
  </r>
  <r>
    <x v="3"/>
    <x v="0"/>
    <x v="3"/>
    <n v="192"/>
    <n v="5815.3305884041902"/>
    <n v="2159.0120127012401"/>
    <n v="4.5498419300540096"/>
    <n v="3656.3185757029501"/>
    <n v="19.043325915119532"/>
    <n v="3656.3185757029501"/>
  </r>
  <r>
    <x v="4"/>
    <x v="2"/>
    <x v="3"/>
    <n v="781"/>
    <n v="7910.0155129855402"/>
    <n v="3927.1759922082301"/>
    <n v="2.6255692330940801"/>
    <n v="3982.8395207773101"/>
    <n v="5.0996664798685147"/>
    <n v="3982.8395207773101"/>
  </r>
  <r>
    <x v="4"/>
    <x v="3"/>
    <x v="3"/>
    <n v="502"/>
    <n v="7398.5723095307303"/>
    <n v="4852.9174531283697"/>
    <n v="3.4127896087079099"/>
    <n v="2545.6548564023606"/>
    <n v="5.071025610363268"/>
    <n v="2545.6548564023606"/>
  </r>
  <r>
    <x v="4"/>
    <x v="1"/>
    <x v="3"/>
    <n v="612"/>
    <n v="6344.9478780210802"/>
    <n v="3335.4350771904101"/>
    <n v="4.3925123818675296"/>
    <n v="3009.5128008306701"/>
    <n v="4.9175045765207024"/>
    <n v="3009.5128008306701"/>
  </r>
  <r>
    <x v="4"/>
    <x v="0"/>
    <x v="3"/>
    <n v="145"/>
    <n v="2815.5741609721199"/>
    <n v="709.87236418203099"/>
    <n v="4.6424960141612104"/>
    <n v="2105.7017967900888"/>
    <n v="14.522081357173025"/>
    <n v="2105.7017967900888"/>
  </r>
  <r>
    <x v="0"/>
    <x v="3"/>
    <x v="4"/>
    <n v="862"/>
    <n v="5330.3085465066297"/>
    <n v="2327.12263199381"/>
    <n v="1.7452835179764801"/>
    <n v="3003.1859145128196"/>
    <n v="3.4839743787851738"/>
    <n v="3003.1859145128196"/>
  </r>
  <r>
    <x v="0"/>
    <x v="0"/>
    <x v="4"/>
    <n v="863"/>
    <n v="7484.6445525231802"/>
    <n v="4595.3505360167401"/>
    <n v="2.8628004892752501"/>
    <n v="2889.2940165064401"/>
    <n v="3.3479652566702667"/>
    <n v="2889.2940165064401"/>
  </r>
  <r>
    <x v="0"/>
    <x v="1"/>
    <x v="4"/>
    <n v="174"/>
    <n v="5829.3158138859899"/>
    <n v="2271.1847564807399"/>
    <n v="3.4148861269205502"/>
    <n v="3558.13105740525"/>
    <n v="20.449029065547414"/>
    <n v="3558.13105740525"/>
  </r>
  <r>
    <x v="0"/>
    <x v="2"/>
    <x v="4"/>
    <n v="402"/>
    <n v="1023.35521945281"/>
    <n v="586.36950604012395"/>
    <n v="3.4315775751770299"/>
    <n v="436.9857134126861"/>
    <n v="1.0870291378425028"/>
    <n v="436.9857134126861"/>
  </r>
  <r>
    <x v="1"/>
    <x v="2"/>
    <x v="4"/>
    <n v="546"/>
    <n v="4574.4744925367404"/>
    <n v="2477.03691248824"/>
    <n v="2.2458926845310199"/>
    <n v="2097.4375800485004"/>
    <n v="3.8414607693195979"/>
    <n v="2097.4375800485004"/>
  </r>
  <r>
    <x v="1"/>
    <x v="1"/>
    <x v="4"/>
    <n v="434"/>
    <n v="8566.3898729013799"/>
    <n v="4025.265485765"/>
    <n v="3.06069472962725"/>
    <n v="4541.1243871363804"/>
    <n v="10.46342024685802"/>
    <n v="4541.1243871363804"/>
  </r>
  <r>
    <x v="1"/>
    <x v="0"/>
    <x v="4"/>
    <n v="180"/>
    <n v="5265.7294728750003"/>
    <n v="2453.4546976565198"/>
    <n v="3.14027887573463"/>
    <n v="2812.2747752184805"/>
    <n v="15.62374875121378"/>
    <n v="2812.2747752184805"/>
  </r>
  <r>
    <x v="1"/>
    <x v="3"/>
    <x v="4"/>
    <n v="949"/>
    <n v="8599.9660537026502"/>
    <n v="2733.4637183889799"/>
    <n v="4.65099785151651"/>
    <n v="5866.5023353136703"/>
    <n v="6.1817727453252589"/>
    <n v="5866.5023353136703"/>
  </r>
  <r>
    <x v="2"/>
    <x v="0"/>
    <x v="4"/>
    <n v="851"/>
    <n v="5390.2882072786397"/>
    <n v="2409.4089338034501"/>
    <n v="1.4119259173252601"/>
    <n v="2980.8792734751896"/>
    <n v="3.5027958560225496"/>
    <n v="2980.8792734751896"/>
  </r>
  <r>
    <x v="2"/>
    <x v="2"/>
    <x v="4"/>
    <n v="951"/>
    <n v="4037.0215048472601"/>
    <n v="1807.42221787056"/>
    <n v="2.5109037897606701"/>
    <n v="2229.5992869767001"/>
    <n v="2.3444787455065197"/>
    <n v="2229.5992869767001"/>
  </r>
  <r>
    <x v="2"/>
    <x v="3"/>
    <x v="4"/>
    <n v="283"/>
    <n v="7631.4022785542102"/>
    <n v="2796.20602918651"/>
    <n v="2.7071556213469901"/>
    <n v="4835.1962493677001"/>
    <n v="17.085499114373498"/>
    <n v="4835.1962493677001"/>
  </r>
  <r>
    <x v="2"/>
    <x v="1"/>
    <x v="4"/>
    <n v="549"/>
    <n v="3973.1363315282201"/>
    <n v="2199.0921444291298"/>
    <n v="3.1105909205791402"/>
    <n v="1774.0441870990903"/>
    <n v="3.2314101768653738"/>
    <n v="1774.0441870990903"/>
  </r>
  <r>
    <x v="3"/>
    <x v="1"/>
    <x v="4"/>
    <n v="294"/>
    <n v="5416.7390133290601"/>
    <n v="3023.0253699837499"/>
    <n v="3.0220315164241298"/>
    <n v="2393.7136433453102"/>
    <n v="8.1418831406303074"/>
    <n v="2393.7136433453102"/>
  </r>
  <r>
    <x v="3"/>
    <x v="0"/>
    <x v="4"/>
    <n v="771"/>
    <n v="5289.5753571376999"/>
    <n v="1659.2101500557601"/>
    <n v="3.2268863391334599"/>
    <n v="3630.3652070819398"/>
    <n v="4.7086448859687939"/>
    <n v="3630.3652070819398"/>
  </r>
  <r>
    <x v="3"/>
    <x v="2"/>
    <x v="4"/>
    <n v="999"/>
    <n v="9069.4923667661806"/>
    <n v="3668.4064018164299"/>
    <n v="4.46797504004609"/>
    <n v="5401.0859649497506"/>
    <n v="5.4064924574071576"/>
    <n v="5401.0859649497506"/>
  </r>
  <r>
    <x v="3"/>
    <x v="3"/>
    <x v="4"/>
    <n v="282"/>
    <n v="8580.8263176836299"/>
    <n v="3676.8850179364299"/>
    <n v="4.5897216392755302"/>
    <n v="4903.9412997472"/>
    <n v="17.389862765060993"/>
    <n v="4903.9412997472"/>
  </r>
  <r>
    <x v="4"/>
    <x v="1"/>
    <x v="4"/>
    <n v="744"/>
    <n v="4323.0743335890602"/>
    <n v="2531.6932054896802"/>
    <n v="1.49110755865083"/>
    <n v="1791.38112809938"/>
    <n v="2.4077703334669085"/>
    <n v="1791.38112809938"/>
  </r>
  <r>
    <x v="4"/>
    <x v="2"/>
    <x v="4"/>
    <n v="928"/>
    <n v="1785.6116163070701"/>
    <n v="448.37838354852101"/>
    <n v="2.29596024442719"/>
    <n v="1337.2332327585491"/>
    <n v="1.4409840870242987"/>
    <n v="1337.2332327585491"/>
  </r>
  <r>
    <x v="4"/>
    <x v="0"/>
    <x v="4"/>
    <n v="645"/>
    <n v="7161.1439309184998"/>
    <n v="4441.4833711136898"/>
    <n v="3.4990450841729999"/>
    <n v="2719.66055980481"/>
    <n v="4.2165279996973801"/>
    <n v="2719.66055980481"/>
  </r>
  <r>
    <x v="4"/>
    <x v="3"/>
    <x v="4"/>
    <n v="888"/>
    <n v="2795.5623460448701"/>
    <n v="753.56646624468101"/>
    <n v="4.22740059585034"/>
    <n v="2041.995879800189"/>
    <n v="2.2995449096848977"/>
    <n v="2041.9958798001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40606-693A-449F-BF11-756774A3C61E}" name="PivotTable1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7" firstHeaderRow="0" firstDataRow="0" firstDataCol="0" rowPageCount="2" colPageCount="1"/>
  <pivotFields count="10">
    <pivotField axis="axisPage" compact="0" outline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compact="0" outline="0" showAll="0"/>
    <pivotField axis="axisPage" compact="0" outline="0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compact="0" outline="0" showAll="0"/>
    <pivotField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pageFields count="2">
    <pageField fld="0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85AE4-DDDE-4760-AC2E-543994B461D7}" name="PivotTable2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6:D11" firstHeaderRow="1" firstDataRow="1" firstDataCol="1" rowPageCount="1" colPageCount="1"/>
  <pivotFields count="10">
    <pivotField compact="0" outline="0" showAll="0"/>
    <pivotField axis="axisRow" compact="0" outline="0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1"/>
  </rowFields>
  <rowItems count="5">
    <i>
      <x/>
    </i>
    <i>
      <x v="3"/>
    </i>
    <i>
      <x v="2"/>
    </i>
    <i>
      <x v="1"/>
    </i>
    <i t="grand">
      <x/>
    </i>
  </rowItems>
  <colItems count="1">
    <i/>
  </colItems>
  <pageFields count="1">
    <pageField fld="2" hier="-1"/>
  </pageFields>
  <dataFields count="1">
    <dataField name="Sum of Sales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4F050-9A0C-42DF-926B-16F6580A2027}" name="PivotTable3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C4:D10" firstHeaderRow="1" firstDataRow="1" firstDataCol="1"/>
  <pivotFields count="10">
    <pivotField axis="axisRow" compact="0" outline="0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dataField="1"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0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Average of Rating" fld="6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47491-2711-4F4E-AA81-D3DBFB997EF2}" name="PivotTable4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0" firstHeaderRow="1" firstDataRow="1" firstDataCol="1" rowPageCount="1" colPageCount="1"/>
  <pivotFields count="10"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item="0" hier="-1"/>
  </pageFields>
  <dataFields count="1">
    <dataField name="Sum of Cost" fld="5" baseField="0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6089D-6111-42EE-BC54-2D579A3D12E4}" name="PivotTable5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I11" firstHeaderRow="1" firstDataRow="2" firstDataCol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st" fld="5" baseField="0" baseItem="0" numFmtId="165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CDCF6-ABAD-40CF-AAF5-FF8E77A83B5D}" name="PivotTable6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E10" firstHeaderRow="0" firstDataRow="1" firstDataCol="1"/>
  <pivotFields count="10">
    <pivotField compact="0" outline="0" showAll="0"/>
    <pivotField compact="0" outline="0" showAll="0"/>
    <pivotField axis="axisRow" compact="0" outline="0" showAll="0" sortType="ascending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numFmtId="165" outline="0" showAll="0"/>
    <pivotField dataField="1"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 numFmtId="165"/>
    <dataField name="Sum of Cost" fld="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7BA59-ABCB-4D89-844E-A87709B0CF2C}" name="PivotTable7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 rowPageCount="1" colPageCount="1"/>
  <pivotFields count="10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6">
        <item h="1" x="0"/>
        <item h="1" x="1"/>
        <item h="1" x="2"/>
        <item h="1" x="3"/>
        <item x="4"/>
        <item t="default"/>
      </items>
    </pivotField>
    <pivotField compact="0" outline="0" showAll="0"/>
    <pivotField dataField="1" compact="0" numFmtId="165" outline="0" showAll="0"/>
    <pivotField dataField="1" compact="0" numFmtId="165" outline="0" showAll="0"/>
    <pivotField compact="0" numFmtId="164" outline="0" showAll="0"/>
    <pivotField dataField="1" compact="0" numFmtId="165" outline="0" showAll="0"/>
    <pivotField compact="0" numFmtId="2" outline="0" showAll="0"/>
    <pivotField compact="0" numFmtId="165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4" hier="-1"/>
  </pageFields>
  <dataFields count="3">
    <dataField name="Sum of Sales" fld="4" baseField="0" baseItem="0" numFmtId="165"/>
    <dataField name="Sum of Cost" fld="5" baseField="0" baseItem="0" numFmtId="165"/>
    <dataField name="Sum of Profit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73C02-7D23-410D-9063-1E99562CBBAF}" name="PivotTable8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7:C8" firstHeaderRow="1" firstDataRow="1" firstDataCol="0" rowPageCount="2" colPageCount="1"/>
  <pivotFields count="10">
    <pivotField axis="axisPage" compact="0" outline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compact="0" outline="0" showAll="0"/>
    <pivotField axis="axisPage" compact="0" outline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Items count="1">
    <i/>
  </rowItems>
  <colItems count="1">
    <i/>
  </colItems>
  <pageFields count="2">
    <pageField fld="0" hier="-1"/>
    <pageField fld="2" hier="-1"/>
  </pageFields>
  <dataFields count="1">
    <dataField name="Sum of Sales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53670-2CA4-4A42-BD27-9AB9087FDCFE}" name="PivotTable10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55:G61" firstHeaderRow="1" firstDataRow="1" firstDataCol="1" rowPageCount="1" colPageCount="1"/>
  <pivotFields count="10">
    <pivotField axis="axisPage" compact="0" outline="0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4" outline="0" showAll="0"/>
    <pivotField compact="0" numFmtId="165" outline="0" showAll="0"/>
    <pivotField compact="0" numFmtId="2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Sum of Sales" fld="4" baseField="0" baseItem="0" numFmtId="165"/>
  </dataFields>
  <formats count="12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2" type="button" dataOnly="0" labelOnly="1" outline="0" axis="axisRow" fieldPosition="0"/>
    </format>
    <format dxfId="23">
      <pivotArea dataOnly="0" labelOnly="1" outline="0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5">
      <pivotArea dataOnly="0" labelOnly="1" outline="0" axis="axisValues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2" type="button" dataOnly="0" labelOnly="1" outline="0" axis="axisRow" fieldPosition="0"/>
    </format>
    <format dxfId="29">
      <pivotArea dataOnly="0" labelOnly="1" outline="0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3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E7F8A-81C6-4E1D-BDB3-784D76F99050}" name="PivotTable9" cacheId="10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5:D61" firstHeaderRow="1" firstDataRow="1" firstDataCol="1" rowPageCount="1" colPageCount="1"/>
  <pivotFields count="10">
    <pivotField compact="0" outline="0" showAll="0"/>
    <pivotField axis="axisPage" compact="0" outline="0" multipleItemSelectionAllowed="1" showAll="0">
      <items count="5">
        <item x="1"/>
        <item h="1" x="3"/>
        <item h="1" x="2"/>
        <item h="1" x="0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5" outline="0" showAll="0"/>
    <pivotField compact="0" numFmtId="165" outline="0" showAll="0"/>
    <pivotField compact="0" numFmtId="164" outline="0" showAll="0"/>
    <pivotField compact="0" numFmtId="165" outline="0" showAll="0"/>
    <pivotField dataField="1" compact="0" numFmtId="2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Average of Spike Ratio" fld="8" subtotal="average" baseField="0" baseItem="0" numFmtId="2"/>
  </dataFields>
  <formats count="12">
    <format dxfId="8">
      <pivotArea type="all" dataOnly="0" outline="0" fieldPosition="0"/>
    </format>
    <format dxfId="9">
      <pivotArea outline="0" collapsedLevelsAreSubtotals="1" fieldPosition="0"/>
    </format>
    <format dxfId="10">
      <pivotArea field="2" type="button" dataOnly="0" labelOnly="1" outline="0" axis="axisRow" fieldPosition="0"/>
    </format>
    <format dxfId="11">
      <pivotArea dataOnly="0" labelOnly="1" outline="0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1" headerRowDxfId="5">
  <autoFilter ref="A1:J101" xr:uid="{00000000-0009-0000-0100-000001000000}"/>
  <tableColumns count="10">
    <tableColumn id="1" xr3:uid="{00000000-0010-0000-0000-000001000000}" name="Store" totalsRowLabel="Total"/>
    <tableColumn id="2" xr3:uid="{00000000-0010-0000-0000-000002000000}" name="Coffee Product"/>
    <tableColumn id="3" xr3:uid="{00000000-0010-0000-0000-000003000000}" name="Year"/>
    <tableColumn id="4" xr3:uid="{00000000-0010-0000-0000-000004000000}" name="Number of Customers"/>
    <tableColumn id="5" xr3:uid="{00000000-0010-0000-0000-000005000000}" name="Sales" dataDxfId="4" dataCellStyle="Comma"/>
    <tableColumn id="6" xr3:uid="{00000000-0010-0000-0000-000006000000}" name="Cost" dataDxfId="3" dataCellStyle="Comma"/>
    <tableColumn id="7" xr3:uid="{00000000-0010-0000-0000-000007000000}" name="Rating" totalsRowFunction="sum" dataCellStyle="Comma"/>
    <tableColumn id="8" xr3:uid="{F87168C7-D359-4C9E-96D5-06805AB365BF}" name="Profit" dataDxfId="2">
      <calculatedColumnFormula>Table1[[#This Row],[Sales]]-Table1[[#This Row],[Cost]]</calculatedColumnFormula>
    </tableColumn>
    <tableColumn id="9" xr3:uid="{FA1113BC-BD82-4476-8F02-0B5691B639C7}" name="Spike Ratio" dataDxfId="1">
      <calculatedColumnFormula>Table1[[#This Row],[Profit]]/Table1[[#This Row],[Number of Customers]]</calculatedColumnFormula>
    </tableColumn>
    <tableColumn id="10" xr3:uid="{C4E6D5C4-A1CF-4EB4-A645-1E59B1BFA129}" name="Margin" dataDxfId="0">
      <calculatedColumnFormula>Table1[[#This Row],[Sales]]-Table1[[#This Row],[Cost]]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zoomScale="200" zoomScaleNormal="200" workbookViewId="0">
      <selection activeCell="F10" sqref="F10"/>
    </sheetView>
  </sheetViews>
  <sheetFormatPr defaultRowHeight="15"/>
  <cols>
    <col min="2" max="2" width="14.85546875" bestFit="1" customWidth="1"/>
    <col min="4" max="4" width="21.42578125" bestFit="1" customWidth="1"/>
    <col min="5" max="6" width="9.7109375" bestFit="1" customWidth="1"/>
    <col min="7" max="7" width="9.28515625" bestFit="1" customWidth="1"/>
    <col min="8" max="8" width="8.28515625" bestFit="1" customWidth="1"/>
    <col min="9" max="9" width="13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2018</v>
      </c>
      <c r="D2">
        <v>534</v>
      </c>
      <c r="E2" s="3">
        <v>9316.3758319668905</v>
      </c>
      <c r="F2" s="3">
        <v>6178.8506761287999</v>
      </c>
      <c r="G2" s="2">
        <v>1.4570692002227501</v>
      </c>
      <c r="H2" s="7">
        <f>Table1[[#This Row],[Sales]]-Table1[[#This Row],[Cost]]</f>
        <v>3137.5251558380905</v>
      </c>
      <c r="I2" s="9">
        <f>Table1[[#This Row],[Profit]]/Table1[[#This Row],[Number of Customers]]</f>
        <v>5.8755152731050382</v>
      </c>
      <c r="J2" s="7">
        <f>Table1[[#This Row],[Sales]]-Table1[[#This Row],[Cost]]</f>
        <v>3137.5251558380905</v>
      </c>
    </row>
    <row r="3" spans="1:10">
      <c r="A3" t="s">
        <v>10</v>
      </c>
      <c r="B3" t="s">
        <v>12</v>
      </c>
      <c r="C3">
        <v>2018</v>
      </c>
      <c r="D3">
        <v>306</v>
      </c>
      <c r="E3" s="3">
        <v>8814.7099633202797</v>
      </c>
      <c r="F3" s="3">
        <v>3563.4271261344602</v>
      </c>
      <c r="G3" s="2">
        <v>2.51722279354219</v>
      </c>
      <c r="H3" s="7">
        <f>Table1[[#This Row],[Sales]]-Table1[[#This Row],[Cost]]</f>
        <v>5251.2828371858195</v>
      </c>
      <c r="I3" s="9">
        <f>Table1[[#This Row],[Profit]]/Table1[[#This Row],[Number of Customers]]</f>
        <v>17.161055023483069</v>
      </c>
      <c r="J3" s="7">
        <f>Table1[[#This Row],[Sales]]-Table1[[#This Row],[Cost]]</f>
        <v>5251.2828371858195</v>
      </c>
    </row>
    <row r="4" spans="1:10">
      <c r="A4" t="s">
        <v>10</v>
      </c>
      <c r="B4" t="s">
        <v>13</v>
      </c>
      <c r="C4">
        <v>2018</v>
      </c>
      <c r="D4">
        <v>924</v>
      </c>
      <c r="E4" s="3">
        <v>7190.0624538647398</v>
      </c>
      <c r="F4" s="3">
        <v>3616.9676798711398</v>
      </c>
      <c r="G4" s="2">
        <v>4.3499631560099603</v>
      </c>
      <c r="H4" s="7">
        <f>Table1[[#This Row],[Sales]]-Table1[[#This Row],[Cost]]</f>
        <v>3573.0947739936</v>
      </c>
      <c r="I4" s="9">
        <f>Table1[[#This Row],[Profit]]/Table1[[#This Row],[Number of Customers]]</f>
        <v>3.8669856861402598</v>
      </c>
      <c r="J4" s="7">
        <f>Table1[[#This Row],[Sales]]-Table1[[#This Row],[Cost]]</f>
        <v>3573.0947739936</v>
      </c>
    </row>
    <row r="5" spans="1:10">
      <c r="A5" t="s">
        <v>10</v>
      </c>
      <c r="B5" t="s">
        <v>14</v>
      </c>
      <c r="C5">
        <v>2018</v>
      </c>
      <c r="D5">
        <v>153</v>
      </c>
      <c r="E5" s="3">
        <v>2158.7355846967898</v>
      </c>
      <c r="F5" s="3">
        <v>526.58912618916804</v>
      </c>
      <c r="G5" s="2">
        <v>4.6427447930228496</v>
      </c>
      <c r="H5" s="7">
        <f>Table1[[#This Row],[Sales]]-Table1[[#This Row],[Cost]]</f>
        <v>1632.1464585076219</v>
      </c>
      <c r="I5" s="9">
        <f>Table1[[#This Row],[Profit]]/Table1[[#This Row],[Number of Customers]]</f>
        <v>10.667623911814522</v>
      </c>
      <c r="J5" s="7">
        <f>Table1[[#This Row],[Sales]]-Table1[[#This Row],[Cost]]</f>
        <v>1632.1464585076219</v>
      </c>
    </row>
    <row r="6" spans="1:10">
      <c r="A6" t="s">
        <v>15</v>
      </c>
      <c r="B6" t="s">
        <v>13</v>
      </c>
      <c r="C6">
        <v>2018</v>
      </c>
      <c r="D6">
        <v>897</v>
      </c>
      <c r="E6" s="3">
        <v>7746.5460880772798</v>
      </c>
      <c r="F6" s="3">
        <v>4004.02917890146</v>
      </c>
      <c r="G6" s="2">
        <v>1.9929057710286</v>
      </c>
      <c r="H6" s="7">
        <f>Table1[[#This Row],[Sales]]-Table1[[#This Row],[Cost]]</f>
        <v>3742.5169091758198</v>
      </c>
      <c r="I6" s="9">
        <f>Table1[[#This Row],[Profit]]/Table1[[#This Row],[Number of Customers]]</f>
        <v>4.1722596534847494</v>
      </c>
      <c r="J6" s="7">
        <f>Table1[[#This Row],[Sales]]-Table1[[#This Row],[Cost]]</f>
        <v>3742.5169091758198</v>
      </c>
    </row>
    <row r="7" spans="1:10">
      <c r="A7" t="s">
        <v>15</v>
      </c>
      <c r="B7" t="s">
        <v>14</v>
      </c>
      <c r="C7">
        <v>2018</v>
      </c>
      <c r="D7">
        <v>837</v>
      </c>
      <c r="E7" s="3">
        <v>1561.07226260117</v>
      </c>
      <c r="F7" s="3">
        <v>898.008321410196</v>
      </c>
      <c r="G7" s="2">
        <v>2.9233479123562902</v>
      </c>
      <c r="H7" s="7">
        <f>Table1[[#This Row],[Sales]]-Table1[[#This Row],[Cost]]</f>
        <v>663.06394119097399</v>
      </c>
      <c r="I7" s="9">
        <f>Table1[[#This Row],[Profit]]/Table1[[#This Row],[Number of Customers]]</f>
        <v>0.79219108863915655</v>
      </c>
      <c r="J7" s="7">
        <f>Table1[[#This Row],[Sales]]-Table1[[#This Row],[Cost]]</f>
        <v>663.06394119097399</v>
      </c>
    </row>
    <row r="8" spans="1:10">
      <c r="A8" t="s">
        <v>15</v>
      </c>
      <c r="B8" t="s">
        <v>12</v>
      </c>
      <c r="C8">
        <v>2018</v>
      </c>
      <c r="D8">
        <v>407</v>
      </c>
      <c r="E8" s="3">
        <v>1943.8224987923199</v>
      </c>
      <c r="F8" s="3">
        <v>828.01842950986304</v>
      </c>
      <c r="G8" s="2">
        <v>4.1219828301843497</v>
      </c>
      <c r="H8" s="7">
        <f>Table1[[#This Row],[Sales]]-Table1[[#This Row],[Cost]]</f>
        <v>1115.804069282457</v>
      </c>
      <c r="I8" s="9">
        <f>Table1[[#This Row],[Profit]]/Table1[[#This Row],[Number of Customers]]</f>
        <v>2.7415333397603368</v>
      </c>
      <c r="J8" s="7">
        <f>Table1[[#This Row],[Sales]]-Table1[[#This Row],[Cost]]</f>
        <v>1115.804069282457</v>
      </c>
    </row>
    <row r="9" spans="1:10">
      <c r="A9" t="s">
        <v>15</v>
      </c>
      <c r="B9" t="s">
        <v>11</v>
      </c>
      <c r="C9">
        <v>2018</v>
      </c>
      <c r="D9">
        <v>641</v>
      </c>
      <c r="E9" s="3">
        <v>1802.8389584085</v>
      </c>
      <c r="F9" s="3">
        <v>756.06078847389597</v>
      </c>
      <c r="G9" s="2">
        <v>4.9021652627310202</v>
      </c>
      <c r="H9" s="7">
        <f>Table1[[#This Row],[Sales]]-Table1[[#This Row],[Cost]]</f>
        <v>1046.7781699346042</v>
      </c>
      <c r="I9" s="9">
        <f>Table1[[#This Row],[Profit]]/Table1[[#This Row],[Number of Customers]]</f>
        <v>1.6330392666686493</v>
      </c>
      <c r="J9" s="7">
        <f>Table1[[#This Row],[Sales]]-Table1[[#This Row],[Cost]]</f>
        <v>1046.7781699346042</v>
      </c>
    </row>
    <row r="10" spans="1:10">
      <c r="A10" t="s">
        <v>16</v>
      </c>
      <c r="B10" t="s">
        <v>14</v>
      </c>
      <c r="C10">
        <v>2018</v>
      </c>
      <c r="D10">
        <v>232</v>
      </c>
      <c r="E10" s="3">
        <v>4195.9387295137403</v>
      </c>
      <c r="F10" s="3">
        <v>978.95260280597699</v>
      </c>
      <c r="G10" s="2">
        <v>1.7378514856754199</v>
      </c>
      <c r="H10" s="7">
        <f>Table1[[#This Row],[Sales]]-Table1[[#This Row],[Cost]]</f>
        <v>3216.9861267077631</v>
      </c>
      <c r="I10" s="9">
        <f>Table1[[#This Row],[Profit]]/Table1[[#This Row],[Number of Customers]]</f>
        <v>13.866319511671392</v>
      </c>
      <c r="J10" s="7">
        <f>Table1[[#This Row],[Sales]]-Table1[[#This Row],[Cost]]</f>
        <v>3216.9861267077631</v>
      </c>
    </row>
    <row r="11" spans="1:10">
      <c r="A11" t="s">
        <v>16</v>
      </c>
      <c r="B11" t="s">
        <v>11</v>
      </c>
      <c r="C11">
        <v>2018</v>
      </c>
      <c r="D11">
        <v>304</v>
      </c>
      <c r="E11" s="3">
        <v>9403.2264138388691</v>
      </c>
      <c r="F11" s="3">
        <v>5541.1893939456504</v>
      </c>
      <c r="G11" s="2">
        <v>3.1378235650289801</v>
      </c>
      <c r="H11" s="7">
        <f>Table1[[#This Row],[Sales]]-Table1[[#This Row],[Cost]]</f>
        <v>3862.0370198932187</v>
      </c>
      <c r="I11" s="9">
        <f>Table1[[#This Row],[Profit]]/Table1[[#This Row],[Number of Customers]]</f>
        <v>12.704069144385588</v>
      </c>
      <c r="J11" s="7">
        <f>Table1[[#This Row],[Sales]]-Table1[[#This Row],[Cost]]</f>
        <v>3862.0370198932187</v>
      </c>
    </row>
    <row r="12" spans="1:10">
      <c r="A12" t="s">
        <v>16</v>
      </c>
      <c r="B12" t="s">
        <v>13</v>
      </c>
      <c r="C12">
        <v>2018</v>
      </c>
      <c r="D12">
        <v>500</v>
      </c>
      <c r="E12" s="3">
        <v>6019.6803935539301</v>
      </c>
      <c r="F12" s="3">
        <v>3402.7722364001302</v>
      </c>
      <c r="G12" s="2">
        <v>4.1991280882970701</v>
      </c>
      <c r="H12" s="7">
        <f>Table1[[#This Row],[Sales]]-Table1[[#This Row],[Cost]]</f>
        <v>2616.9081571537999</v>
      </c>
      <c r="I12" s="9">
        <f>Table1[[#This Row],[Profit]]/Table1[[#This Row],[Number of Customers]]</f>
        <v>5.2338163143075995</v>
      </c>
      <c r="J12" s="7">
        <f>Table1[[#This Row],[Sales]]-Table1[[#This Row],[Cost]]</f>
        <v>2616.9081571537999</v>
      </c>
    </row>
    <row r="13" spans="1:10">
      <c r="A13" t="s">
        <v>16</v>
      </c>
      <c r="B13" t="s">
        <v>12</v>
      </c>
      <c r="C13">
        <v>2018</v>
      </c>
      <c r="D13">
        <v>168</v>
      </c>
      <c r="E13" s="3">
        <v>9096.8265743051106</v>
      </c>
      <c r="F13" s="3">
        <v>5191.8359749900901</v>
      </c>
      <c r="G13" s="2">
        <v>4.3462592531693298</v>
      </c>
      <c r="H13" s="7">
        <f>Table1[[#This Row],[Sales]]-Table1[[#This Row],[Cost]]</f>
        <v>3904.9905993150205</v>
      </c>
      <c r="I13" s="9">
        <f>Table1[[#This Row],[Profit]]/Table1[[#This Row],[Number of Customers]]</f>
        <v>23.243991662589409</v>
      </c>
      <c r="J13" s="7">
        <f>Table1[[#This Row],[Sales]]-Table1[[#This Row],[Cost]]</f>
        <v>3904.9905993150205</v>
      </c>
    </row>
    <row r="14" spans="1:10">
      <c r="A14" t="s">
        <v>17</v>
      </c>
      <c r="B14" t="s">
        <v>14</v>
      </c>
      <c r="C14">
        <v>2018</v>
      </c>
      <c r="D14">
        <v>982</v>
      </c>
      <c r="E14" s="3">
        <v>8657.3576605253093</v>
      </c>
      <c r="F14" s="3">
        <v>4998.0453445490302</v>
      </c>
      <c r="G14" s="2">
        <v>2.3374512452419198</v>
      </c>
      <c r="H14" s="7">
        <f>Table1[[#This Row],[Sales]]-Table1[[#This Row],[Cost]]</f>
        <v>3659.312315976279</v>
      </c>
      <c r="I14" s="9">
        <f>Table1[[#This Row],[Profit]]/Table1[[#This Row],[Number of Customers]]</f>
        <v>3.7263872871448869</v>
      </c>
      <c r="J14" s="7">
        <f>Table1[[#This Row],[Sales]]-Table1[[#This Row],[Cost]]</f>
        <v>3659.312315976279</v>
      </c>
    </row>
    <row r="15" spans="1:10">
      <c r="A15" t="s">
        <v>17</v>
      </c>
      <c r="B15" t="s">
        <v>12</v>
      </c>
      <c r="C15">
        <v>2018</v>
      </c>
      <c r="D15">
        <v>459</v>
      </c>
      <c r="E15" s="3">
        <v>6183.9857602509401</v>
      </c>
      <c r="F15" s="3">
        <v>3623.4507403571001</v>
      </c>
      <c r="G15" s="2">
        <v>2.63193798145937</v>
      </c>
      <c r="H15" s="7">
        <f>Table1[[#This Row],[Sales]]-Table1[[#This Row],[Cost]]</f>
        <v>2560.5350198938399</v>
      </c>
      <c r="I15" s="9">
        <f>Table1[[#This Row],[Profit]]/Table1[[#This Row],[Number of Customers]]</f>
        <v>5.57850766861403</v>
      </c>
      <c r="J15" s="7">
        <f>Table1[[#This Row],[Sales]]-Table1[[#This Row],[Cost]]</f>
        <v>2560.5350198938399</v>
      </c>
    </row>
    <row r="16" spans="1:10">
      <c r="A16" t="s">
        <v>17</v>
      </c>
      <c r="B16" t="s">
        <v>13</v>
      </c>
      <c r="C16">
        <v>2018</v>
      </c>
      <c r="D16">
        <v>947</v>
      </c>
      <c r="E16" s="3">
        <v>1464.7193008706099</v>
      </c>
      <c r="F16" s="3">
        <v>735.25823624279997</v>
      </c>
      <c r="G16" s="2">
        <v>3.1063138666371701</v>
      </c>
      <c r="H16" s="7">
        <f>Table1[[#This Row],[Sales]]-Table1[[#This Row],[Cost]]</f>
        <v>729.46106462780995</v>
      </c>
      <c r="I16" s="9">
        <f>Table1[[#This Row],[Profit]]/Table1[[#This Row],[Number of Customers]]</f>
        <v>0.77028623508744454</v>
      </c>
      <c r="J16" s="7">
        <f>Table1[[#This Row],[Sales]]-Table1[[#This Row],[Cost]]</f>
        <v>729.46106462780995</v>
      </c>
    </row>
    <row r="17" spans="1:10">
      <c r="A17" t="s">
        <v>17</v>
      </c>
      <c r="B17" t="s">
        <v>11</v>
      </c>
      <c r="C17">
        <v>2018</v>
      </c>
      <c r="D17">
        <v>963</v>
      </c>
      <c r="E17" s="3">
        <v>7506.0648695959799</v>
      </c>
      <c r="F17" s="3">
        <v>3749.38960932493</v>
      </c>
      <c r="G17" s="2">
        <v>3.3801959188016801</v>
      </c>
      <c r="H17" s="7">
        <f>Table1[[#This Row],[Sales]]-Table1[[#This Row],[Cost]]</f>
        <v>3756.6752602710499</v>
      </c>
      <c r="I17" s="9">
        <f>Table1[[#This Row],[Profit]]/Table1[[#This Row],[Number of Customers]]</f>
        <v>3.9010127313302698</v>
      </c>
      <c r="J17" s="7">
        <f>Table1[[#This Row],[Sales]]-Table1[[#This Row],[Cost]]</f>
        <v>3756.6752602710499</v>
      </c>
    </row>
    <row r="18" spans="1:10">
      <c r="A18" t="s">
        <v>18</v>
      </c>
      <c r="B18" t="s">
        <v>12</v>
      </c>
      <c r="C18">
        <v>2018</v>
      </c>
      <c r="D18">
        <v>633</v>
      </c>
      <c r="E18" s="3">
        <v>5554.9356072341197</v>
      </c>
      <c r="F18" s="3">
        <v>3662.7871165823999</v>
      </c>
      <c r="G18" s="2">
        <v>1.34770005980139</v>
      </c>
      <c r="H18" s="7">
        <f>Table1[[#This Row],[Sales]]-Table1[[#This Row],[Cost]]</f>
        <v>1892.1484906517198</v>
      </c>
      <c r="I18" s="9">
        <f>Table1[[#This Row],[Profit]]/Table1[[#This Row],[Number of Customers]]</f>
        <v>2.9891761305714373</v>
      </c>
      <c r="J18" s="7">
        <f>Table1[[#This Row],[Sales]]-Table1[[#This Row],[Cost]]</f>
        <v>1892.1484906517198</v>
      </c>
    </row>
    <row r="19" spans="1:10">
      <c r="A19" t="s">
        <v>18</v>
      </c>
      <c r="B19" t="s">
        <v>14</v>
      </c>
      <c r="C19">
        <v>2018</v>
      </c>
      <c r="D19">
        <v>160</v>
      </c>
      <c r="E19" s="3">
        <v>8547.2430283236208</v>
      </c>
      <c r="F19" s="3">
        <v>3519.7412702363399</v>
      </c>
      <c r="G19" s="2">
        <v>3.8832523852420202</v>
      </c>
      <c r="H19" s="7">
        <f>Table1[[#This Row],[Sales]]-Table1[[#This Row],[Cost]]</f>
        <v>5027.5017580872809</v>
      </c>
      <c r="I19" s="9">
        <f>Table1[[#This Row],[Profit]]/Table1[[#This Row],[Number of Customers]]</f>
        <v>31.421885988045506</v>
      </c>
      <c r="J19" s="7">
        <f>Table1[[#This Row],[Sales]]-Table1[[#This Row],[Cost]]</f>
        <v>5027.5017580872809</v>
      </c>
    </row>
    <row r="20" spans="1:10">
      <c r="A20" t="s">
        <v>18</v>
      </c>
      <c r="B20" t="s">
        <v>11</v>
      </c>
      <c r="C20">
        <v>2018</v>
      </c>
      <c r="D20">
        <v>332</v>
      </c>
      <c r="E20" s="3">
        <v>5088.4117499718895</v>
      </c>
      <c r="F20" s="3">
        <v>1970.3230174396101</v>
      </c>
      <c r="G20" s="2">
        <v>4.50577630350117</v>
      </c>
      <c r="H20" s="7">
        <f>Table1[[#This Row],[Sales]]-Table1[[#This Row],[Cost]]</f>
        <v>3118.0887325322792</v>
      </c>
      <c r="I20" s="9">
        <f>Table1[[#This Row],[Profit]]/Table1[[#This Row],[Number of Customers]]</f>
        <v>9.3918335317237318</v>
      </c>
      <c r="J20" s="7">
        <f>Table1[[#This Row],[Sales]]-Table1[[#This Row],[Cost]]</f>
        <v>3118.0887325322792</v>
      </c>
    </row>
    <row r="21" spans="1:10">
      <c r="A21" t="s">
        <v>18</v>
      </c>
      <c r="B21" t="s">
        <v>13</v>
      </c>
      <c r="C21">
        <v>2018</v>
      </c>
      <c r="D21">
        <v>104</v>
      </c>
      <c r="E21" s="3">
        <v>7626.2246532863901</v>
      </c>
      <c r="F21" s="3">
        <v>1909.5860738762599</v>
      </c>
      <c r="G21" s="2">
        <v>4.8505972742194903</v>
      </c>
      <c r="H21" s="7">
        <f>Table1[[#This Row],[Sales]]-Table1[[#This Row],[Cost]]</f>
        <v>5716.6385794101298</v>
      </c>
      <c r="I21" s="9">
        <f>Table1[[#This Row],[Profit]]/Table1[[#This Row],[Number of Customers]]</f>
        <v>54.967678648174328</v>
      </c>
      <c r="J21" s="7">
        <f>Table1[[#This Row],[Sales]]-Table1[[#This Row],[Cost]]</f>
        <v>5716.6385794101298</v>
      </c>
    </row>
    <row r="22" spans="1:10">
      <c r="A22" t="s">
        <v>10</v>
      </c>
      <c r="B22" t="s">
        <v>14</v>
      </c>
      <c r="C22">
        <v>2019</v>
      </c>
      <c r="D22">
        <v>335</v>
      </c>
      <c r="E22" s="3">
        <v>3970.8956197913899</v>
      </c>
      <c r="F22" s="3">
        <v>1069.8084663479999</v>
      </c>
      <c r="G22" s="2">
        <v>1.4912431273829301</v>
      </c>
      <c r="H22" s="7">
        <f>Table1[[#This Row],[Sales]]-Table1[[#This Row],[Cost]]</f>
        <v>2901.08715344339</v>
      </c>
      <c r="I22" s="9">
        <f>Table1[[#This Row],[Profit]]/Table1[[#This Row],[Number of Customers]]</f>
        <v>8.6599616520698213</v>
      </c>
      <c r="J22" s="7">
        <f>Table1[[#This Row],[Sales]]-Table1[[#This Row],[Cost]]</f>
        <v>2901.08715344339</v>
      </c>
    </row>
    <row r="23" spans="1:10">
      <c r="A23" t="s">
        <v>10</v>
      </c>
      <c r="B23" t="s">
        <v>13</v>
      </c>
      <c r="C23">
        <v>2019</v>
      </c>
      <c r="D23">
        <v>500</v>
      </c>
      <c r="E23" s="3">
        <v>5604.9131219253504</v>
      </c>
      <c r="F23" s="3">
        <v>3346.9443047470099</v>
      </c>
      <c r="G23" s="2">
        <v>2.32858565061975</v>
      </c>
      <c r="H23" s="7">
        <f>Table1[[#This Row],[Sales]]-Table1[[#This Row],[Cost]]</f>
        <v>2257.9688171783405</v>
      </c>
      <c r="I23" s="9">
        <f>Table1[[#This Row],[Profit]]/Table1[[#This Row],[Number of Customers]]</f>
        <v>4.5159376343566811</v>
      </c>
      <c r="J23" s="7">
        <f>Table1[[#This Row],[Sales]]-Table1[[#This Row],[Cost]]</f>
        <v>2257.9688171783405</v>
      </c>
    </row>
    <row r="24" spans="1:10">
      <c r="A24" t="s">
        <v>10</v>
      </c>
      <c r="B24" t="s">
        <v>11</v>
      </c>
      <c r="C24">
        <v>2019</v>
      </c>
      <c r="D24">
        <v>202</v>
      </c>
      <c r="E24" s="3">
        <v>3125.0487980566299</v>
      </c>
      <c r="F24" s="3">
        <v>1752.5219764148701</v>
      </c>
      <c r="G24" s="2">
        <v>2.6580183368145098</v>
      </c>
      <c r="H24" s="7">
        <f>Table1[[#This Row],[Sales]]-Table1[[#This Row],[Cost]]</f>
        <v>1372.5268216417599</v>
      </c>
      <c r="I24" s="9">
        <f>Table1[[#This Row],[Profit]]/Table1[[#This Row],[Number of Customers]]</f>
        <v>6.7946872358502963</v>
      </c>
      <c r="J24" s="7">
        <f>Table1[[#This Row],[Sales]]-Table1[[#This Row],[Cost]]</f>
        <v>1372.5268216417599</v>
      </c>
    </row>
    <row r="25" spans="1:10">
      <c r="A25" t="s">
        <v>10</v>
      </c>
      <c r="B25" t="s">
        <v>12</v>
      </c>
      <c r="C25">
        <v>2019</v>
      </c>
      <c r="D25">
        <v>328</v>
      </c>
      <c r="E25" s="3">
        <v>1760.65306912613</v>
      </c>
      <c r="F25" s="3">
        <v>1173.4207493972899</v>
      </c>
      <c r="G25" s="2">
        <v>3.97699860737315</v>
      </c>
      <c r="H25" s="7">
        <f>Table1[[#This Row],[Sales]]-Table1[[#This Row],[Cost]]</f>
        <v>587.23231972884014</v>
      </c>
      <c r="I25" s="9">
        <f>Table1[[#This Row],[Profit]]/Table1[[#This Row],[Number of Customers]]</f>
        <v>1.7903424381976834</v>
      </c>
      <c r="J25" s="7">
        <f>Table1[[#This Row],[Sales]]-Table1[[#This Row],[Cost]]</f>
        <v>587.23231972884014</v>
      </c>
    </row>
    <row r="26" spans="1:10">
      <c r="A26" t="s">
        <v>15</v>
      </c>
      <c r="B26" t="s">
        <v>12</v>
      </c>
      <c r="C26">
        <v>2019</v>
      </c>
      <c r="D26">
        <v>348</v>
      </c>
      <c r="E26" s="3">
        <v>7636.64685484437</v>
      </c>
      <c r="F26" s="3">
        <v>4252.7816404258801</v>
      </c>
      <c r="G26" s="2">
        <v>2.1103486905176698</v>
      </c>
      <c r="H26" s="7">
        <f>Table1[[#This Row],[Sales]]-Table1[[#This Row],[Cost]]</f>
        <v>3383.8652144184898</v>
      </c>
      <c r="I26" s="9">
        <f>Table1[[#This Row],[Profit]]/Table1[[#This Row],[Number of Customers]]</f>
        <v>9.723750616145086</v>
      </c>
      <c r="J26" s="7">
        <f>Table1[[#This Row],[Sales]]-Table1[[#This Row],[Cost]]</f>
        <v>3383.8652144184898</v>
      </c>
    </row>
    <row r="27" spans="1:10">
      <c r="A27" t="s">
        <v>15</v>
      </c>
      <c r="B27" t="s">
        <v>11</v>
      </c>
      <c r="C27">
        <v>2019</v>
      </c>
      <c r="D27">
        <v>858</v>
      </c>
      <c r="E27" s="3">
        <v>5818.02007613971</v>
      </c>
      <c r="F27" s="3">
        <v>2843.5173741413901</v>
      </c>
      <c r="G27" s="2">
        <v>2.83595595206805</v>
      </c>
      <c r="H27" s="7">
        <f>Table1[[#This Row],[Sales]]-Table1[[#This Row],[Cost]]</f>
        <v>2974.5027019983199</v>
      </c>
      <c r="I27" s="9">
        <f>Table1[[#This Row],[Profit]]/Table1[[#This Row],[Number of Customers]]</f>
        <v>3.4667863659654077</v>
      </c>
      <c r="J27" s="7">
        <f>Table1[[#This Row],[Sales]]-Table1[[#This Row],[Cost]]</f>
        <v>2974.5027019983199</v>
      </c>
    </row>
    <row r="28" spans="1:10">
      <c r="A28" t="s">
        <v>16</v>
      </c>
      <c r="B28" t="s">
        <v>13</v>
      </c>
      <c r="C28">
        <v>2019</v>
      </c>
      <c r="D28">
        <v>429</v>
      </c>
      <c r="E28" s="3">
        <v>6278.8189119468298</v>
      </c>
      <c r="F28" s="3">
        <v>3433.6273988466601</v>
      </c>
      <c r="G28" s="2">
        <v>2.3975479961973298</v>
      </c>
      <c r="H28" s="7">
        <f>Table1[[#This Row],[Sales]]-Table1[[#This Row],[Cost]]</f>
        <v>2845.1915131001697</v>
      </c>
      <c r="I28" s="9">
        <f>Table1[[#This Row],[Profit]]/Table1[[#This Row],[Number of Customers]]</f>
        <v>6.6321480491845444</v>
      </c>
      <c r="J28" s="7">
        <f>Table1[[#This Row],[Sales]]-Table1[[#This Row],[Cost]]</f>
        <v>2845.1915131001697</v>
      </c>
    </row>
    <row r="29" spans="1:10">
      <c r="A29" t="s">
        <v>15</v>
      </c>
      <c r="B29" t="s">
        <v>14</v>
      </c>
      <c r="C29">
        <v>2019</v>
      </c>
      <c r="D29">
        <v>905</v>
      </c>
      <c r="E29" s="3">
        <v>2329.6518271560399</v>
      </c>
      <c r="F29" s="3">
        <v>1397.2519343940801</v>
      </c>
      <c r="G29" s="2">
        <v>4.6738188997572001</v>
      </c>
      <c r="H29" s="7">
        <f>Table1[[#This Row],[Sales]]-Table1[[#This Row],[Cost]]</f>
        <v>932.39989276195979</v>
      </c>
      <c r="I29" s="9">
        <f>Table1[[#This Row],[Profit]]/Table1[[#This Row],[Number of Customers]]</f>
        <v>1.0302761245988505</v>
      </c>
      <c r="J29" s="7">
        <f>Table1[[#This Row],[Sales]]-Table1[[#This Row],[Cost]]</f>
        <v>932.39989276195979</v>
      </c>
    </row>
    <row r="30" spans="1:10">
      <c r="A30" t="s">
        <v>16</v>
      </c>
      <c r="B30" t="s">
        <v>14</v>
      </c>
      <c r="C30">
        <v>2019</v>
      </c>
      <c r="D30">
        <v>896</v>
      </c>
      <c r="E30" s="3">
        <v>6839.4055626241798</v>
      </c>
      <c r="F30" s="3">
        <v>2151.0798788614502</v>
      </c>
      <c r="G30" s="2">
        <v>2.1983836470659002</v>
      </c>
      <c r="H30" s="7">
        <f>Table1[[#This Row],[Sales]]-Table1[[#This Row],[Cost]]</f>
        <v>4688.3256837627296</v>
      </c>
      <c r="I30" s="9">
        <f>Table1[[#This Row],[Profit]]/Table1[[#This Row],[Number of Customers]]</f>
        <v>5.2325063434851895</v>
      </c>
      <c r="J30" s="7">
        <f>Table1[[#This Row],[Sales]]-Table1[[#This Row],[Cost]]</f>
        <v>4688.3256837627296</v>
      </c>
    </row>
    <row r="31" spans="1:10">
      <c r="A31" t="s">
        <v>15</v>
      </c>
      <c r="B31" t="s">
        <v>13</v>
      </c>
      <c r="C31">
        <v>2019</v>
      </c>
      <c r="D31">
        <v>434</v>
      </c>
      <c r="E31" s="3">
        <v>1274.2493746023399</v>
      </c>
      <c r="F31" s="3">
        <v>833.27379940272601</v>
      </c>
      <c r="G31" s="2">
        <v>3.31052781636618</v>
      </c>
      <c r="H31" s="7">
        <f>Table1[[#This Row],[Sales]]-Table1[[#This Row],[Cost]]</f>
        <v>440.9755751996139</v>
      </c>
      <c r="I31" s="9">
        <f>Table1[[#This Row],[Profit]]/Table1[[#This Row],[Number of Customers]]</f>
        <v>1.0160727539161611</v>
      </c>
      <c r="J31" s="7">
        <f>Table1[[#This Row],[Sales]]-Table1[[#This Row],[Cost]]</f>
        <v>440.9755751996139</v>
      </c>
    </row>
    <row r="32" spans="1:10">
      <c r="A32" t="s">
        <v>16</v>
      </c>
      <c r="B32" t="s">
        <v>11</v>
      </c>
      <c r="C32">
        <v>2019</v>
      </c>
      <c r="D32">
        <v>225</v>
      </c>
      <c r="E32" s="3">
        <v>1067.8092682066699</v>
      </c>
      <c r="F32" s="3">
        <v>289.97854839553702</v>
      </c>
      <c r="G32" s="2">
        <v>2.9243517935503398</v>
      </c>
      <c r="H32" s="7">
        <f>Table1[[#This Row],[Sales]]-Table1[[#This Row],[Cost]]</f>
        <v>777.83071981113289</v>
      </c>
      <c r="I32" s="9">
        <f>Table1[[#This Row],[Profit]]/Table1[[#This Row],[Number of Customers]]</f>
        <v>3.4570254213828129</v>
      </c>
      <c r="J32" s="7">
        <f>Table1[[#This Row],[Sales]]-Table1[[#This Row],[Cost]]</f>
        <v>777.83071981113289</v>
      </c>
    </row>
    <row r="33" spans="1:10">
      <c r="A33" t="s">
        <v>16</v>
      </c>
      <c r="B33" t="s">
        <v>12</v>
      </c>
      <c r="C33">
        <v>2019</v>
      </c>
      <c r="D33">
        <v>645</v>
      </c>
      <c r="E33" s="3">
        <v>6467.9970006421499</v>
      </c>
      <c r="F33" s="3">
        <v>3147.16838708457</v>
      </c>
      <c r="G33" s="2">
        <v>3.3498144169362898</v>
      </c>
      <c r="H33" s="7">
        <f>Table1[[#This Row],[Sales]]-Table1[[#This Row],[Cost]]</f>
        <v>3320.82861355758</v>
      </c>
      <c r="I33" s="9">
        <f>Table1[[#This Row],[Profit]]/Table1[[#This Row],[Number of Customers]]</f>
        <v>5.1485714938877205</v>
      </c>
      <c r="J33" s="7">
        <f>Table1[[#This Row],[Sales]]-Table1[[#This Row],[Cost]]</f>
        <v>3320.82861355758</v>
      </c>
    </row>
    <row r="34" spans="1:10">
      <c r="A34" t="s">
        <v>17</v>
      </c>
      <c r="B34" t="s">
        <v>14</v>
      </c>
      <c r="C34">
        <v>2019</v>
      </c>
      <c r="D34">
        <v>210</v>
      </c>
      <c r="E34" s="3">
        <v>1790.98862086129</v>
      </c>
      <c r="F34" s="3">
        <v>450.35844415574599</v>
      </c>
      <c r="G34" s="2">
        <v>1.30201345521555</v>
      </c>
      <c r="H34" s="7">
        <f>Table1[[#This Row],[Sales]]-Table1[[#This Row],[Cost]]</f>
        <v>1340.630176705544</v>
      </c>
      <c r="I34" s="9">
        <f>Table1[[#This Row],[Profit]]/Table1[[#This Row],[Number of Customers]]</f>
        <v>6.383953222407353</v>
      </c>
      <c r="J34" s="7">
        <f>Table1[[#This Row],[Sales]]-Table1[[#This Row],[Cost]]</f>
        <v>1340.630176705544</v>
      </c>
    </row>
    <row r="35" spans="1:10">
      <c r="A35" t="s">
        <v>17</v>
      </c>
      <c r="B35" t="s">
        <v>11</v>
      </c>
      <c r="C35">
        <v>2019</v>
      </c>
      <c r="D35">
        <v>294</v>
      </c>
      <c r="E35" s="3">
        <v>8387.7532583801694</v>
      </c>
      <c r="F35" s="3">
        <v>5145.0429326662797</v>
      </c>
      <c r="G35" s="2">
        <v>2.3570849835847598</v>
      </c>
      <c r="H35" s="7">
        <f>Table1[[#This Row],[Sales]]-Table1[[#This Row],[Cost]]</f>
        <v>3242.7103257138897</v>
      </c>
      <c r="I35" s="9">
        <f>Table1[[#This Row],[Profit]]/Table1[[#This Row],[Number of Customers]]</f>
        <v>11.029626958210509</v>
      </c>
      <c r="J35" s="7">
        <f>Table1[[#This Row],[Sales]]-Table1[[#This Row],[Cost]]</f>
        <v>3242.7103257138897</v>
      </c>
    </row>
    <row r="36" spans="1:10">
      <c r="A36" t="s">
        <v>17</v>
      </c>
      <c r="B36" t="s">
        <v>12</v>
      </c>
      <c r="C36">
        <v>2019</v>
      </c>
      <c r="D36">
        <v>999</v>
      </c>
      <c r="E36" s="3">
        <v>9256.5605177697798</v>
      </c>
      <c r="F36" s="3">
        <v>1907.7913422613001</v>
      </c>
      <c r="G36" s="2">
        <v>3.2068903810373501</v>
      </c>
      <c r="H36" s="7">
        <f>Table1[[#This Row],[Sales]]-Table1[[#This Row],[Cost]]</f>
        <v>7348.7691755084797</v>
      </c>
      <c r="I36" s="9">
        <f>Table1[[#This Row],[Profit]]/Table1[[#This Row],[Number of Customers]]</f>
        <v>7.3561253008092891</v>
      </c>
      <c r="J36" s="7">
        <f>Table1[[#This Row],[Sales]]-Table1[[#This Row],[Cost]]</f>
        <v>7348.7691755084797</v>
      </c>
    </row>
    <row r="37" spans="1:10">
      <c r="A37" t="s">
        <v>17</v>
      </c>
      <c r="B37" t="s">
        <v>13</v>
      </c>
      <c r="C37">
        <v>2019</v>
      </c>
      <c r="D37">
        <v>194</v>
      </c>
      <c r="E37" s="3">
        <v>1164.18233285524</v>
      </c>
      <c r="F37" s="3">
        <v>525.214076628518</v>
      </c>
      <c r="G37" s="2">
        <v>4.2029990859444801</v>
      </c>
      <c r="H37" s="7">
        <f>Table1[[#This Row],[Sales]]-Table1[[#This Row],[Cost]]</f>
        <v>638.96825622672202</v>
      </c>
      <c r="I37" s="9">
        <f>Table1[[#This Row],[Profit]]/Table1[[#This Row],[Number of Customers]]</f>
        <v>3.2936508052923816</v>
      </c>
      <c r="J37" s="7">
        <f>Table1[[#This Row],[Sales]]-Table1[[#This Row],[Cost]]</f>
        <v>638.96825622672202</v>
      </c>
    </row>
    <row r="38" spans="1:10">
      <c r="A38" t="s">
        <v>18</v>
      </c>
      <c r="B38" t="s">
        <v>12</v>
      </c>
      <c r="C38">
        <v>2019</v>
      </c>
      <c r="D38">
        <v>504</v>
      </c>
      <c r="E38" s="3">
        <v>9388.1290803123993</v>
      </c>
      <c r="F38" s="3">
        <v>5586.3340949088297</v>
      </c>
      <c r="G38" s="2">
        <v>3.5329630996438399</v>
      </c>
      <c r="H38" s="7">
        <f>Table1[[#This Row],[Sales]]-Table1[[#This Row],[Cost]]</f>
        <v>3801.7949854035696</v>
      </c>
      <c r="I38" s="9">
        <f>Table1[[#This Row],[Profit]]/Table1[[#This Row],[Number of Customers]]</f>
        <v>7.5432440186578766</v>
      </c>
      <c r="J38" s="7">
        <f>Table1[[#This Row],[Sales]]-Table1[[#This Row],[Cost]]</f>
        <v>3801.7949854035696</v>
      </c>
    </row>
    <row r="39" spans="1:10">
      <c r="A39" t="s">
        <v>18</v>
      </c>
      <c r="B39" t="s">
        <v>11</v>
      </c>
      <c r="C39">
        <v>2019</v>
      </c>
      <c r="D39">
        <v>623</v>
      </c>
      <c r="E39" s="3">
        <v>5937.4280614433701</v>
      </c>
      <c r="F39" s="3">
        <v>1392.09395322707</v>
      </c>
      <c r="G39" s="2">
        <v>3.5717022544570098</v>
      </c>
      <c r="H39" s="7">
        <f>Table1[[#This Row],[Sales]]-Table1[[#This Row],[Cost]]</f>
        <v>4545.3341082163006</v>
      </c>
      <c r="I39" s="9">
        <f>Table1[[#This Row],[Profit]]/Table1[[#This Row],[Number of Customers]]</f>
        <v>7.2958813936056188</v>
      </c>
      <c r="J39" s="7">
        <f>Table1[[#This Row],[Sales]]-Table1[[#This Row],[Cost]]</f>
        <v>4545.3341082163006</v>
      </c>
    </row>
    <row r="40" spans="1:10">
      <c r="A40" t="s">
        <v>18</v>
      </c>
      <c r="B40" t="s">
        <v>14</v>
      </c>
      <c r="C40">
        <v>2019</v>
      </c>
      <c r="D40">
        <v>733</v>
      </c>
      <c r="E40" s="3">
        <v>2845.6980413451302</v>
      </c>
      <c r="F40" s="3">
        <v>978.81998109413996</v>
      </c>
      <c r="G40" s="2">
        <v>4.2212598694316199</v>
      </c>
      <c r="H40" s="7">
        <f>Table1[[#This Row],[Sales]]-Table1[[#This Row],[Cost]]</f>
        <v>1866.8780602509901</v>
      </c>
      <c r="I40" s="9">
        <f>Table1[[#This Row],[Profit]]/Table1[[#This Row],[Number of Customers]]</f>
        <v>2.5469004914747475</v>
      </c>
      <c r="J40" s="7">
        <f>Table1[[#This Row],[Sales]]-Table1[[#This Row],[Cost]]</f>
        <v>1866.8780602509901</v>
      </c>
    </row>
    <row r="41" spans="1:10">
      <c r="A41" t="s">
        <v>18</v>
      </c>
      <c r="B41" t="s">
        <v>13</v>
      </c>
      <c r="C41">
        <v>2019</v>
      </c>
      <c r="D41">
        <v>565</v>
      </c>
      <c r="E41" s="3">
        <v>5768.5602086300496</v>
      </c>
      <c r="F41" s="3">
        <v>1892.1325466471501</v>
      </c>
      <c r="G41" s="2">
        <v>4.7776389023090902</v>
      </c>
      <c r="H41" s="7">
        <f>Table1[[#This Row],[Sales]]-Table1[[#This Row],[Cost]]</f>
        <v>3876.4276619828997</v>
      </c>
      <c r="I41" s="9">
        <f>Table1[[#This Row],[Profit]]/Table1[[#This Row],[Number of Customers]]</f>
        <v>6.8609339150139821</v>
      </c>
      <c r="J41" s="7">
        <f>Table1[[#This Row],[Sales]]-Table1[[#This Row],[Cost]]</f>
        <v>3876.4276619828997</v>
      </c>
    </row>
    <row r="42" spans="1:10">
      <c r="A42" t="s">
        <v>10</v>
      </c>
      <c r="B42" t="s">
        <v>12</v>
      </c>
      <c r="C42">
        <v>2020</v>
      </c>
      <c r="D42">
        <v>952</v>
      </c>
      <c r="E42" s="3">
        <v>6375.5027402988699</v>
      </c>
      <c r="F42" s="3">
        <v>4433.9373443582799</v>
      </c>
      <c r="G42" s="2">
        <v>1.82231923350255</v>
      </c>
      <c r="H42" s="7">
        <f>Table1[[#This Row],[Sales]]-Table1[[#This Row],[Cost]]</f>
        <v>1941.56539594059</v>
      </c>
      <c r="I42" s="9">
        <f>Table1[[#This Row],[Profit]]/Table1[[#This Row],[Number of Customers]]</f>
        <v>2.0394594495174263</v>
      </c>
      <c r="J42" s="7">
        <f>Table1[[#This Row],[Sales]]-Table1[[#This Row],[Cost]]</f>
        <v>1941.56539594059</v>
      </c>
    </row>
    <row r="43" spans="1:10">
      <c r="A43" t="s">
        <v>10</v>
      </c>
      <c r="B43" t="s">
        <v>14</v>
      </c>
      <c r="C43">
        <v>2020</v>
      </c>
      <c r="D43">
        <v>488</v>
      </c>
      <c r="E43" s="3">
        <v>3894.2448821202602</v>
      </c>
      <c r="F43" s="3">
        <v>784.12742950915003</v>
      </c>
      <c r="G43" s="2">
        <v>1.9436241383803201</v>
      </c>
      <c r="H43" s="7">
        <f>Table1[[#This Row],[Sales]]-Table1[[#This Row],[Cost]]</f>
        <v>3110.1174526111099</v>
      </c>
      <c r="I43" s="9">
        <f>Table1[[#This Row],[Profit]]/Table1[[#This Row],[Number of Customers]]</f>
        <v>6.3731915012522746</v>
      </c>
      <c r="J43" s="7">
        <f>Table1[[#This Row],[Sales]]-Table1[[#This Row],[Cost]]</f>
        <v>3110.1174526111099</v>
      </c>
    </row>
    <row r="44" spans="1:10">
      <c r="A44" t="s">
        <v>10</v>
      </c>
      <c r="B44" t="s">
        <v>13</v>
      </c>
      <c r="C44">
        <v>2020</v>
      </c>
      <c r="D44">
        <v>723</v>
      </c>
      <c r="E44" s="3">
        <v>2412.7991444457398</v>
      </c>
      <c r="F44" s="3">
        <v>611.28175858249904</v>
      </c>
      <c r="G44" s="2">
        <v>2.2457770561825598</v>
      </c>
      <c r="H44" s="7">
        <f>Table1[[#This Row],[Sales]]-Table1[[#This Row],[Cost]]</f>
        <v>1801.5173858632406</v>
      </c>
      <c r="I44" s="9">
        <f>Table1[[#This Row],[Profit]]/Table1[[#This Row],[Number of Customers]]</f>
        <v>2.4917252916504018</v>
      </c>
      <c r="J44" s="7">
        <f>Table1[[#This Row],[Sales]]-Table1[[#This Row],[Cost]]</f>
        <v>1801.5173858632406</v>
      </c>
    </row>
    <row r="45" spans="1:10">
      <c r="A45" t="s">
        <v>10</v>
      </c>
      <c r="B45" t="s">
        <v>11</v>
      </c>
      <c r="C45">
        <v>2020</v>
      </c>
      <c r="D45">
        <v>521</v>
      </c>
      <c r="E45" s="3">
        <v>7839.5986804382701</v>
      </c>
      <c r="F45" s="3">
        <v>1756.4410897661501</v>
      </c>
      <c r="G45" s="2">
        <v>4.4540725624518203</v>
      </c>
      <c r="H45" s="7">
        <f>Table1[[#This Row],[Sales]]-Table1[[#This Row],[Cost]]</f>
        <v>6083.15759067212</v>
      </c>
      <c r="I45" s="9">
        <f>Table1[[#This Row],[Profit]]/Table1[[#This Row],[Number of Customers]]</f>
        <v>11.675926277681612</v>
      </c>
      <c r="J45" s="7">
        <f>Table1[[#This Row],[Sales]]-Table1[[#This Row],[Cost]]</f>
        <v>6083.15759067212</v>
      </c>
    </row>
    <row r="46" spans="1:10">
      <c r="A46" t="s">
        <v>15</v>
      </c>
      <c r="B46" t="s">
        <v>13</v>
      </c>
      <c r="C46">
        <v>2020</v>
      </c>
      <c r="D46">
        <v>958</v>
      </c>
      <c r="E46" s="3">
        <v>8804.9348296725093</v>
      </c>
      <c r="F46" s="3">
        <v>3153.0321161774</v>
      </c>
      <c r="G46" s="2">
        <v>1.6620532697118899</v>
      </c>
      <c r="H46" s="7">
        <f>Table1[[#This Row],[Sales]]-Table1[[#This Row],[Cost]]</f>
        <v>5651.9027134951093</v>
      </c>
      <c r="I46" s="9">
        <f>Table1[[#This Row],[Profit]]/Table1[[#This Row],[Number of Customers]]</f>
        <v>5.8996896800575254</v>
      </c>
      <c r="J46" s="7">
        <f>Table1[[#This Row],[Sales]]-Table1[[#This Row],[Cost]]</f>
        <v>5651.9027134951093</v>
      </c>
    </row>
    <row r="47" spans="1:10">
      <c r="A47" t="s">
        <v>15</v>
      </c>
      <c r="B47" t="s">
        <v>12</v>
      </c>
      <c r="C47">
        <v>2020</v>
      </c>
      <c r="D47">
        <v>265</v>
      </c>
      <c r="E47" s="3">
        <v>2640.5549062836199</v>
      </c>
      <c r="F47" s="3">
        <v>1715.9216246016699</v>
      </c>
      <c r="G47" s="2">
        <v>1.88038885632438</v>
      </c>
      <c r="H47" s="7">
        <f>Table1[[#This Row],[Sales]]-Table1[[#This Row],[Cost]]</f>
        <v>924.63328168194994</v>
      </c>
      <c r="I47" s="9">
        <f>Table1[[#This Row],[Profit]]/Table1[[#This Row],[Number of Customers]]</f>
        <v>3.4891821950262263</v>
      </c>
      <c r="J47" s="7">
        <f>Table1[[#This Row],[Sales]]-Table1[[#This Row],[Cost]]</f>
        <v>924.63328168194994</v>
      </c>
    </row>
    <row r="48" spans="1:10">
      <c r="A48" t="s">
        <v>15</v>
      </c>
      <c r="B48" t="s">
        <v>11</v>
      </c>
      <c r="C48">
        <v>2020</v>
      </c>
      <c r="D48">
        <v>205</v>
      </c>
      <c r="E48" s="3">
        <v>3098.9477039482099</v>
      </c>
      <c r="F48" s="3">
        <v>1170.41436785565</v>
      </c>
      <c r="G48" s="2">
        <v>3.2292214755601898</v>
      </c>
      <c r="H48" s="7">
        <f>Table1[[#This Row],[Sales]]-Table1[[#This Row],[Cost]]</f>
        <v>1928.5333360925599</v>
      </c>
      <c r="I48" s="9">
        <f>Table1[[#This Row],[Profit]]/Table1[[#This Row],[Number of Customers]]</f>
        <v>9.4074796882563891</v>
      </c>
      <c r="J48" s="7">
        <f>Table1[[#This Row],[Sales]]-Table1[[#This Row],[Cost]]</f>
        <v>1928.5333360925599</v>
      </c>
    </row>
    <row r="49" spans="1:10">
      <c r="A49" t="s">
        <v>15</v>
      </c>
      <c r="B49" t="s">
        <v>14</v>
      </c>
      <c r="C49">
        <v>2020</v>
      </c>
      <c r="D49">
        <v>405</v>
      </c>
      <c r="E49" s="3">
        <v>2198.0523572872999</v>
      </c>
      <c r="F49" s="3">
        <v>1346.4528839971499</v>
      </c>
      <c r="G49" s="2">
        <v>3.34827289654626</v>
      </c>
      <c r="H49" s="7">
        <f>Table1[[#This Row],[Sales]]-Table1[[#This Row],[Cost]]</f>
        <v>851.59947329014994</v>
      </c>
      <c r="I49" s="9">
        <f>Table1[[#This Row],[Profit]]/Table1[[#This Row],[Number of Customers]]</f>
        <v>2.1027147488645679</v>
      </c>
      <c r="J49" s="7">
        <f>Table1[[#This Row],[Sales]]-Table1[[#This Row],[Cost]]</f>
        <v>851.59947329014994</v>
      </c>
    </row>
    <row r="50" spans="1:10">
      <c r="A50" t="s">
        <v>16</v>
      </c>
      <c r="B50" t="s">
        <v>12</v>
      </c>
      <c r="C50">
        <v>2020</v>
      </c>
      <c r="D50">
        <v>873</v>
      </c>
      <c r="E50" s="3">
        <v>3199.1783991818902</v>
      </c>
      <c r="F50" s="3">
        <v>2235.7340127797902</v>
      </c>
      <c r="G50" s="2">
        <v>2.17617871688388</v>
      </c>
      <c r="H50" s="7">
        <f>Table1[[#This Row],[Sales]]-Table1[[#This Row],[Cost]]</f>
        <v>963.44438640210001</v>
      </c>
      <c r="I50" s="9">
        <f>Table1[[#This Row],[Profit]]/Table1[[#This Row],[Number of Customers]]</f>
        <v>1.1036018171845361</v>
      </c>
      <c r="J50" s="7">
        <f>Table1[[#This Row],[Sales]]-Table1[[#This Row],[Cost]]</f>
        <v>963.44438640210001</v>
      </c>
    </row>
    <row r="51" spans="1:10">
      <c r="A51" t="s">
        <v>16</v>
      </c>
      <c r="B51" t="s">
        <v>14</v>
      </c>
      <c r="C51">
        <v>2020</v>
      </c>
      <c r="D51">
        <v>999</v>
      </c>
      <c r="E51" s="3">
        <v>5316.2389157882499</v>
      </c>
      <c r="F51" s="3">
        <v>2506.2060984035602</v>
      </c>
      <c r="G51" s="2">
        <v>2.2397477050744401</v>
      </c>
      <c r="H51" s="7">
        <f>Table1[[#This Row],[Sales]]-Table1[[#This Row],[Cost]]</f>
        <v>2810.0328173846897</v>
      </c>
      <c r="I51" s="9">
        <f>Table1[[#This Row],[Profit]]/Table1[[#This Row],[Number of Customers]]</f>
        <v>2.8128456630477374</v>
      </c>
      <c r="J51" s="7">
        <f>Table1[[#This Row],[Sales]]-Table1[[#This Row],[Cost]]</f>
        <v>2810.0328173846897</v>
      </c>
    </row>
    <row r="52" spans="1:10">
      <c r="A52" t="s">
        <v>16</v>
      </c>
      <c r="B52" t="s">
        <v>13</v>
      </c>
      <c r="C52">
        <v>2020</v>
      </c>
      <c r="D52">
        <v>884</v>
      </c>
      <c r="E52" s="3">
        <v>6080.1268827037702</v>
      </c>
      <c r="F52" s="3">
        <v>1722.89746454545</v>
      </c>
      <c r="G52" s="2">
        <v>2.8729273137655098</v>
      </c>
      <c r="H52" s="7">
        <f>Table1[[#This Row],[Sales]]-Table1[[#This Row],[Cost]]</f>
        <v>4357.2294181583202</v>
      </c>
      <c r="I52" s="9">
        <f>Table1[[#This Row],[Profit]]/Table1[[#This Row],[Number of Customers]]</f>
        <v>4.9289925544777375</v>
      </c>
      <c r="J52" s="7">
        <f>Table1[[#This Row],[Sales]]-Table1[[#This Row],[Cost]]</f>
        <v>4357.2294181583202</v>
      </c>
    </row>
    <row r="53" spans="1:10">
      <c r="A53" t="s">
        <v>16</v>
      </c>
      <c r="B53" t="s">
        <v>11</v>
      </c>
      <c r="C53">
        <v>2020</v>
      </c>
      <c r="D53">
        <v>846</v>
      </c>
      <c r="E53" s="3">
        <v>3027.9951794127501</v>
      </c>
      <c r="F53" s="3">
        <v>915.27905692858894</v>
      </c>
      <c r="G53" s="2">
        <v>2.9880477952849902</v>
      </c>
      <c r="H53" s="7">
        <f>Table1[[#This Row],[Sales]]-Table1[[#This Row],[Cost]]</f>
        <v>2112.7161224841611</v>
      </c>
      <c r="I53" s="9">
        <f>Table1[[#This Row],[Profit]]/Table1[[#This Row],[Number of Customers]]</f>
        <v>2.4973003811869519</v>
      </c>
      <c r="J53" s="7">
        <f>Table1[[#This Row],[Sales]]-Table1[[#This Row],[Cost]]</f>
        <v>2112.7161224841611</v>
      </c>
    </row>
    <row r="54" spans="1:10">
      <c r="A54" t="s">
        <v>17</v>
      </c>
      <c r="B54" t="s">
        <v>12</v>
      </c>
      <c r="C54">
        <v>2020</v>
      </c>
      <c r="D54">
        <v>795</v>
      </c>
      <c r="E54" s="3">
        <v>1047.70005757844</v>
      </c>
      <c r="F54" s="3">
        <v>523.03423777074897</v>
      </c>
      <c r="G54" s="2">
        <v>2.01555425617321</v>
      </c>
      <c r="H54" s="7">
        <f>Table1[[#This Row],[Sales]]-Table1[[#This Row],[Cost]]</f>
        <v>524.66581980769104</v>
      </c>
      <c r="I54" s="9">
        <f>Table1[[#This Row],[Profit]]/Table1[[#This Row],[Number of Customers]]</f>
        <v>0.65995700604741014</v>
      </c>
      <c r="J54" s="7">
        <f>Table1[[#This Row],[Sales]]-Table1[[#This Row],[Cost]]</f>
        <v>524.66581980769104</v>
      </c>
    </row>
    <row r="55" spans="1:10">
      <c r="A55" t="s">
        <v>17</v>
      </c>
      <c r="B55" t="s">
        <v>11</v>
      </c>
      <c r="C55">
        <v>2020</v>
      </c>
      <c r="D55">
        <v>766</v>
      </c>
      <c r="E55" s="3">
        <v>7466.1154375289798</v>
      </c>
      <c r="F55" s="3">
        <v>5073.5046522254997</v>
      </c>
      <c r="G55" s="2">
        <v>3.277774071054</v>
      </c>
      <c r="H55" s="7">
        <f>Table1[[#This Row],[Sales]]-Table1[[#This Row],[Cost]]</f>
        <v>2392.61078530348</v>
      </c>
      <c r="I55" s="9">
        <f>Table1[[#This Row],[Profit]]/Table1[[#This Row],[Number of Customers]]</f>
        <v>3.1235127745476241</v>
      </c>
      <c r="J55" s="7">
        <f>Table1[[#This Row],[Sales]]-Table1[[#This Row],[Cost]]</f>
        <v>2392.61078530348</v>
      </c>
    </row>
    <row r="56" spans="1:10">
      <c r="A56" t="s">
        <v>17</v>
      </c>
      <c r="B56" t="s">
        <v>14</v>
      </c>
      <c r="C56">
        <v>2020</v>
      </c>
      <c r="D56">
        <v>860</v>
      </c>
      <c r="E56" s="3">
        <v>8252.7839806702905</v>
      </c>
      <c r="F56" s="3">
        <v>3864.28914786426</v>
      </c>
      <c r="G56" s="2">
        <v>4.0129848829897998</v>
      </c>
      <c r="H56" s="7">
        <f>Table1[[#This Row],[Sales]]-Table1[[#This Row],[Cost]]</f>
        <v>4388.4948328060309</v>
      </c>
      <c r="I56" s="9">
        <f>Table1[[#This Row],[Profit]]/Table1[[#This Row],[Number of Customers]]</f>
        <v>5.1029009683791058</v>
      </c>
      <c r="J56" s="7">
        <f>Table1[[#This Row],[Sales]]-Table1[[#This Row],[Cost]]</f>
        <v>4388.4948328060309</v>
      </c>
    </row>
    <row r="57" spans="1:10">
      <c r="A57" t="s">
        <v>17</v>
      </c>
      <c r="B57" t="s">
        <v>13</v>
      </c>
      <c r="C57">
        <v>2020</v>
      </c>
      <c r="D57">
        <v>473</v>
      </c>
      <c r="E57" s="3">
        <v>7272.6531612977897</v>
      </c>
      <c r="F57" s="3">
        <v>3417.64021683901</v>
      </c>
      <c r="G57" s="2">
        <v>4.9157257424638399</v>
      </c>
      <c r="H57" s="7">
        <f>Table1[[#This Row],[Sales]]-Table1[[#This Row],[Cost]]</f>
        <v>3855.0129444587797</v>
      </c>
      <c r="I57" s="9">
        <f>Table1[[#This Row],[Profit]]/Table1[[#This Row],[Number of Customers]]</f>
        <v>8.1501330749657068</v>
      </c>
      <c r="J57" s="7">
        <f>Table1[[#This Row],[Sales]]-Table1[[#This Row],[Cost]]</f>
        <v>3855.0129444587797</v>
      </c>
    </row>
    <row r="58" spans="1:10">
      <c r="A58" t="s">
        <v>18</v>
      </c>
      <c r="B58" t="s">
        <v>13</v>
      </c>
      <c r="C58">
        <v>2020</v>
      </c>
      <c r="D58">
        <v>703</v>
      </c>
      <c r="E58" s="3">
        <v>7365.0708608000004</v>
      </c>
      <c r="F58" s="3">
        <v>4146.8868936918398</v>
      </c>
      <c r="G58" s="2">
        <v>1.5643273951108501</v>
      </c>
      <c r="H58" s="7">
        <f>Table1[[#This Row],[Sales]]-Table1[[#This Row],[Cost]]</f>
        <v>3218.1839671081607</v>
      </c>
      <c r="I58" s="9">
        <f>Table1[[#This Row],[Profit]]/Table1[[#This Row],[Number of Customers]]</f>
        <v>4.5777865819461745</v>
      </c>
      <c r="J58" s="7">
        <f>Table1[[#This Row],[Sales]]-Table1[[#This Row],[Cost]]</f>
        <v>3218.1839671081607</v>
      </c>
    </row>
    <row r="59" spans="1:10">
      <c r="A59" t="s">
        <v>18</v>
      </c>
      <c r="B59" t="s">
        <v>11</v>
      </c>
      <c r="C59">
        <v>2020</v>
      </c>
      <c r="D59">
        <v>445</v>
      </c>
      <c r="E59" s="3">
        <v>5940.2978190007898</v>
      </c>
      <c r="F59" s="3">
        <v>1417.71464214308</v>
      </c>
      <c r="G59" s="2">
        <v>3.8157845405540298</v>
      </c>
      <c r="H59" s="7">
        <f>Table1[[#This Row],[Sales]]-Table1[[#This Row],[Cost]]</f>
        <v>4522.58317685771</v>
      </c>
      <c r="I59" s="9">
        <f>Table1[[#This Row],[Profit]]/Table1[[#This Row],[Number of Customers]]</f>
        <v>10.163108262601595</v>
      </c>
      <c r="J59" s="7">
        <f>Table1[[#This Row],[Sales]]-Table1[[#This Row],[Cost]]</f>
        <v>4522.58317685771</v>
      </c>
    </row>
    <row r="60" spans="1:10">
      <c r="A60" t="s">
        <v>18</v>
      </c>
      <c r="B60" t="s">
        <v>12</v>
      </c>
      <c r="C60">
        <v>2020</v>
      </c>
      <c r="D60">
        <v>937</v>
      </c>
      <c r="E60" s="3">
        <v>3885.7797294356201</v>
      </c>
      <c r="F60" s="3">
        <v>821.88633138842999</v>
      </c>
      <c r="G60" s="2">
        <v>3.9436184527839999</v>
      </c>
      <c r="H60" s="7">
        <f>Table1[[#This Row],[Sales]]-Table1[[#This Row],[Cost]]</f>
        <v>3063.8933980471902</v>
      </c>
      <c r="I60" s="9">
        <f>Table1[[#This Row],[Profit]]/Table1[[#This Row],[Number of Customers]]</f>
        <v>3.2698969029319001</v>
      </c>
      <c r="J60" s="7">
        <f>Table1[[#This Row],[Sales]]-Table1[[#This Row],[Cost]]</f>
        <v>3063.8933980471902</v>
      </c>
    </row>
    <row r="61" spans="1:10">
      <c r="A61" t="s">
        <v>18</v>
      </c>
      <c r="B61" t="s">
        <v>14</v>
      </c>
      <c r="C61">
        <v>2020</v>
      </c>
      <c r="D61">
        <v>150</v>
      </c>
      <c r="E61" s="3">
        <v>9711.9465985380994</v>
      </c>
      <c r="F61" s="3">
        <v>4928.5713779553898</v>
      </c>
      <c r="G61" s="2">
        <v>4.9549151278217698</v>
      </c>
      <c r="H61" s="7">
        <f>Table1[[#This Row],[Sales]]-Table1[[#This Row],[Cost]]</f>
        <v>4783.3752205827095</v>
      </c>
      <c r="I61" s="9">
        <f>Table1[[#This Row],[Profit]]/Table1[[#This Row],[Number of Customers]]</f>
        <v>31.889168137218064</v>
      </c>
      <c r="J61" s="7">
        <f>Table1[[#This Row],[Sales]]-Table1[[#This Row],[Cost]]</f>
        <v>4783.3752205827095</v>
      </c>
    </row>
    <row r="62" spans="1:10">
      <c r="A62" t="s">
        <v>10</v>
      </c>
      <c r="B62" t="s">
        <v>14</v>
      </c>
      <c r="C62">
        <v>2021</v>
      </c>
      <c r="D62">
        <v>833</v>
      </c>
      <c r="E62" s="3">
        <v>1830.6152760587099</v>
      </c>
      <c r="F62" s="3">
        <v>472.93585404858698</v>
      </c>
      <c r="G62" s="2">
        <v>1.66208204146915</v>
      </c>
      <c r="H62" s="7">
        <f>Table1[[#This Row],[Sales]]-Table1[[#This Row],[Cost]]</f>
        <v>1357.6794220101228</v>
      </c>
      <c r="I62" s="9">
        <f>Table1[[#This Row],[Profit]]/Table1[[#This Row],[Number of Customers]]</f>
        <v>1.6298672533134728</v>
      </c>
      <c r="J62" s="7">
        <f>Table1[[#This Row],[Sales]]-Table1[[#This Row],[Cost]]</f>
        <v>1357.6794220101228</v>
      </c>
    </row>
    <row r="63" spans="1:10">
      <c r="A63" t="s">
        <v>10</v>
      </c>
      <c r="B63" t="s">
        <v>13</v>
      </c>
      <c r="C63">
        <v>2021</v>
      </c>
      <c r="D63">
        <v>866</v>
      </c>
      <c r="E63" s="3">
        <v>4395.5736871786503</v>
      </c>
      <c r="F63" s="3">
        <v>2748.8323565400601</v>
      </c>
      <c r="G63" s="2">
        <v>1.9095824835084501</v>
      </c>
      <c r="H63" s="7">
        <f>Table1[[#This Row],[Sales]]-Table1[[#This Row],[Cost]]</f>
        <v>1646.7413306385902</v>
      </c>
      <c r="I63" s="9">
        <f>Table1[[#This Row],[Profit]]/Table1[[#This Row],[Number of Customers]]</f>
        <v>1.9015488806450234</v>
      </c>
      <c r="J63" s="7">
        <f>Table1[[#This Row],[Sales]]-Table1[[#This Row],[Cost]]</f>
        <v>1646.7413306385902</v>
      </c>
    </row>
    <row r="64" spans="1:10">
      <c r="A64" t="s">
        <v>10</v>
      </c>
      <c r="B64" t="s">
        <v>12</v>
      </c>
      <c r="C64">
        <v>2021</v>
      </c>
      <c r="D64">
        <v>677</v>
      </c>
      <c r="E64" s="3">
        <v>9876.3129628013303</v>
      </c>
      <c r="F64" s="3">
        <v>2987.5936095735201</v>
      </c>
      <c r="G64" s="2">
        <v>4.1511595548579603</v>
      </c>
      <c r="H64" s="7">
        <f>Table1[[#This Row],[Sales]]-Table1[[#This Row],[Cost]]</f>
        <v>6888.7193532278106</v>
      </c>
      <c r="I64" s="9">
        <f>Table1[[#This Row],[Profit]]/Table1[[#This Row],[Number of Customers]]</f>
        <v>10.175360935343885</v>
      </c>
      <c r="J64" s="7">
        <f>Table1[[#This Row],[Sales]]-Table1[[#This Row],[Cost]]</f>
        <v>6888.7193532278106</v>
      </c>
    </row>
    <row r="65" spans="1:10">
      <c r="A65" t="s">
        <v>10</v>
      </c>
      <c r="B65" t="s">
        <v>11</v>
      </c>
      <c r="C65">
        <v>2021</v>
      </c>
      <c r="D65">
        <v>803</v>
      </c>
      <c r="E65" s="3">
        <v>5781.3917857617998</v>
      </c>
      <c r="F65" s="3">
        <v>3415.3990597781199</v>
      </c>
      <c r="G65" s="2">
        <v>4.6918409271939296</v>
      </c>
      <c r="H65" s="7">
        <f>Table1[[#This Row],[Sales]]-Table1[[#This Row],[Cost]]</f>
        <v>2365.99272598368</v>
      </c>
      <c r="I65" s="9">
        <f>Table1[[#This Row],[Profit]]/Table1[[#This Row],[Number of Customers]]</f>
        <v>2.9464417509136736</v>
      </c>
      <c r="J65" s="7">
        <f>Table1[[#This Row],[Sales]]-Table1[[#This Row],[Cost]]</f>
        <v>2365.99272598368</v>
      </c>
    </row>
    <row r="66" spans="1:10">
      <c r="A66" t="s">
        <v>15</v>
      </c>
      <c r="B66" t="s">
        <v>14</v>
      </c>
      <c r="C66">
        <v>2021</v>
      </c>
      <c r="D66">
        <v>197</v>
      </c>
      <c r="E66" s="3">
        <v>7184.4895486299802</v>
      </c>
      <c r="F66" s="3">
        <v>2106.51024942196</v>
      </c>
      <c r="G66" s="2">
        <v>1.1313866809737501</v>
      </c>
      <c r="H66" s="7">
        <f>Table1[[#This Row],[Sales]]-Table1[[#This Row],[Cost]]</f>
        <v>5077.9792992080202</v>
      </c>
      <c r="I66" s="9">
        <f>Table1[[#This Row],[Profit]]/Table1[[#This Row],[Number of Customers]]</f>
        <v>25.77654466603056</v>
      </c>
      <c r="J66" s="7">
        <f>Table1[[#This Row],[Sales]]-Table1[[#This Row],[Cost]]</f>
        <v>5077.9792992080202</v>
      </c>
    </row>
    <row r="67" spans="1:10">
      <c r="A67" t="s">
        <v>15</v>
      </c>
      <c r="B67" t="s">
        <v>13</v>
      </c>
      <c r="C67">
        <v>2021</v>
      </c>
      <c r="D67">
        <v>534</v>
      </c>
      <c r="E67" s="3">
        <v>4187.3200371381199</v>
      </c>
      <c r="F67" s="3">
        <v>2069.178173197</v>
      </c>
      <c r="G67" s="2">
        <v>1.1355166409863799</v>
      </c>
      <c r="H67" s="7">
        <f>Table1[[#This Row],[Sales]]-Table1[[#This Row],[Cost]]</f>
        <v>2118.1418639411199</v>
      </c>
      <c r="I67" s="9">
        <f>Table1[[#This Row],[Profit]]/Table1[[#This Row],[Number of Customers]]</f>
        <v>3.9665577976425466</v>
      </c>
      <c r="J67" s="7">
        <f>Table1[[#This Row],[Sales]]-Table1[[#This Row],[Cost]]</f>
        <v>2118.1418639411199</v>
      </c>
    </row>
    <row r="68" spans="1:10">
      <c r="A68" t="s">
        <v>15</v>
      </c>
      <c r="B68" t="s">
        <v>12</v>
      </c>
      <c r="C68">
        <v>2021</v>
      </c>
      <c r="D68">
        <v>580</v>
      </c>
      <c r="E68" s="3">
        <v>6075.6858281695204</v>
      </c>
      <c r="F68" s="3">
        <v>3111.0596192960502</v>
      </c>
      <c r="G68" s="2">
        <v>1.8507231373649</v>
      </c>
      <c r="H68" s="7">
        <f>Table1[[#This Row],[Sales]]-Table1[[#This Row],[Cost]]</f>
        <v>2964.6262088734702</v>
      </c>
      <c r="I68" s="9">
        <f>Table1[[#This Row],[Profit]]/Table1[[#This Row],[Number of Customers]]</f>
        <v>5.1114244980577075</v>
      </c>
      <c r="J68" s="7">
        <f>Table1[[#This Row],[Sales]]-Table1[[#This Row],[Cost]]</f>
        <v>2964.6262088734702</v>
      </c>
    </row>
    <row r="69" spans="1:10">
      <c r="A69" t="s">
        <v>15</v>
      </c>
      <c r="B69" t="s">
        <v>11</v>
      </c>
      <c r="C69">
        <v>2021</v>
      </c>
      <c r="D69">
        <v>662</v>
      </c>
      <c r="E69" s="3">
        <v>4086.3417785043398</v>
      </c>
      <c r="F69" s="3">
        <v>1617.13320692758</v>
      </c>
      <c r="G69" s="2">
        <v>4.4425280715629301</v>
      </c>
      <c r="H69" s="7">
        <f>Table1[[#This Row],[Sales]]-Table1[[#This Row],[Cost]]</f>
        <v>2469.2085715767598</v>
      </c>
      <c r="I69" s="9">
        <f>Table1[[#This Row],[Profit]]/Table1[[#This Row],[Number of Customers]]</f>
        <v>3.7299223135600603</v>
      </c>
      <c r="J69" s="7">
        <f>Table1[[#This Row],[Sales]]-Table1[[#This Row],[Cost]]</f>
        <v>2469.2085715767598</v>
      </c>
    </row>
    <row r="70" spans="1:10">
      <c r="A70" t="s">
        <v>16</v>
      </c>
      <c r="B70" t="s">
        <v>14</v>
      </c>
      <c r="C70">
        <v>2021</v>
      </c>
      <c r="D70">
        <v>237</v>
      </c>
      <c r="E70" s="3">
        <v>6257.7953624275196</v>
      </c>
      <c r="F70" s="3">
        <v>2601.7664789236001</v>
      </c>
      <c r="G70" s="2">
        <v>2.5892724618303902</v>
      </c>
      <c r="H70" s="7">
        <f>Table1[[#This Row],[Sales]]-Table1[[#This Row],[Cost]]</f>
        <v>3656.0288835039196</v>
      </c>
      <c r="I70" s="9">
        <f>Table1[[#This Row],[Profit]]/Table1[[#This Row],[Number of Customers]]</f>
        <v>15.426282208877298</v>
      </c>
      <c r="J70" s="7">
        <f>Table1[[#This Row],[Sales]]-Table1[[#This Row],[Cost]]</f>
        <v>3656.0288835039196</v>
      </c>
    </row>
    <row r="71" spans="1:10">
      <c r="A71" t="s">
        <v>16</v>
      </c>
      <c r="B71" t="s">
        <v>13</v>
      </c>
      <c r="C71">
        <v>2021</v>
      </c>
      <c r="D71">
        <v>607</v>
      </c>
      <c r="E71" s="3">
        <v>4408.9536335616003</v>
      </c>
      <c r="F71" s="3">
        <v>2818.7082421016898</v>
      </c>
      <c r="G71" s="2">
        <v>3.4999039482041998</v>
      </c>
      <c r="H71" s="7">
        <f>Table1[[#This Row],[Sales]]-Table1[[#This Row],[Cost]]</f>
        <v>1590.2453914599105</v>
      </c>
      <c r="I71" s="9">
        <f>Table1[[#This Row],[Profit]]/Table1[[#This Row],[Number of Customers]]</f>
        <v>2.619844137495734</v>
      </c>
      <c r="J71" s="7">
        <f>Table1[[#This Row],[Sales]]-Table1[[#This Row],[Cost]]</f>
        <v>1590.2453914599105</v>
      </c>
    </row>
    <row r="72" spans="1:10">
      <c r="A72" t="s">
        <v>16</v>
      </c>
      <c r="B72" t="s">
        <v>12</v>
      </c>
      <c r="C72">
        <v>2021</v>
      </c>
      <c r="D72">
        <v>152</v>
      </c>
      <c r="E72" s="3">
        <v>5484.2292806404603</v>
      </c>
      <c r="F72" s="3">
        <v>3160.02146700916</v>
      </c>
      <c r="G72" s="2">
        <v>3.8562367991593098</v>
      </c>
      <c r="H72" s="7">
        <f>Table1[[#This Row],[Sales]]-Table1[[#This Row],[Cost]]</f>
        <v>2324.2078136313003</v>
      </c>
      <c r="I72" s="9">
        <f>Table1[[#This Row],[Profit]]/Table1[[#This Row],[Number of Customers]]</f>
        <v>15.290840879153292</v>
      </c>
      <c r="J72" s="7">
        <f>Table1[[#This Row],[Sales]]-Table1[[#This Row],[Cost]]</f>
        <v>2324.2078136313003</v>
      </c>
    </row>
    <row r="73" spans="1:10">
      <c r="A73" t="s">
        <v>16</v>
      </c>
      <c r="B73" t="s">
        <v>11</v>
      </c>
      <c r="C73">
        <v>2021</v>
      </c>
      <c r="D73">
        <v>142</v>
      </c>
      <c r="E73" s="3">
        <v>4288.2113770665101</v>
      </c>
      <c r="F73" s="3">
        <v>2388.67113608623</v>
      </c>
      <c r="G73" s="2">
        <v>4.0614251242649599</v>
      </c>
      <c r="H73" s="7">
        <f>Table1[[#This Row],[Sales]]-Table1[[#This Row],[Cost]]</f>
        <v>1899.54024098028</v>
      </c>
      <c r="I73" s="9">
        <f>Table1[[#This Row],[Profit]]/Table1[[#This Row],[Number of Customers]]</f>
        <v>13.377043950565353</v>
      </c>
      <c r="J73" s="7">
        <f>Table1[[#This Row],[Sales]]-Table1[[#This Row],[Cost]]</f>
        <v>1899.54024098028</v>
      </c>
    </row>
    <row r="74" spans="1:10">
      <c r="A74" t="s">
        <v>17</v>
      </c>
      <c r="B74" t="s">
        <v>12</v>
      </c>
      <c r="C74">
        <v>2021</v>
      </c>
      <c r="D74">
        <v>380</v>
      </c>
      <c r="E74" s="3">
        <v>9775.60446650628</v>
      </c>
      <c r="F74" s="3">
        <v>4719.2138562697801</v>
      </c>
      <c r="G74" s="2">
        <v>1.7844523987738099</v>
      </c>
      <c r="H74" s="7">
        <f>Table1[[#This Row],[Sales]]-Table1[[#This Row],[Cost]]</f>
        <v>5056.3906102364999</v>
      </c>
      <c r="I74" s="9">
        <f>Table1[[#This Row],[Profit]]/Table1[[#This Row],[Number of Customers]]</f>
        <v>13.306291079569737</v>
      </c>
      <c r="J74" s="7">
        <f>Table1[[#This Row],[Sales]]-Table1[[#This Row],[Cost]]</f>
        <v>5056.3906102364999</v>
      </c>
    </row>
    <row r="75" spans="1:10">
      <c r="A75" t="s">
        <v>17</v>
      </c>
      <c r="B75" t="s">
        <v>14</v>
      </c>
      <c r="C75">
        <v>2021</v>
      </c>
      <c r="D75">
        <v>762</v>
      </c>
      <c r="E75" s="3">
        <v>1500.8814042127699</v>
      </c>
      <c r="F75" s="3">
        <v>584.45940247212798</v>
      </c>
      <c r="G75" s="2">
        <v>2.0892074188811902</v>
      </c>
      <c r="H75" s="7">
        <f>Table1[[#This Row],[Sales]]-Table1[[#This Row],[Cost]]</f>
        <v>916.42200174064192</v>
      </c>
      <c r="I75" s="9">
        <f>Table1[[#This Row],[Profit]]/Table1[[#This Row],[Number of Customers]]</f>
        <v>1.2026535455913936</v>
      </c>
      <c r="J75" s="7">
        <f>Table1[[#This Row],[Sales]]-Table1[[#This Row],[Cost]]</f>
        <v>916.42200174064192</v>
      </c>
    </row>
    <row r="76" spans="1:10">
      <c r="A76" t="s">
        <v>17</v>
      </c>
      <c r="B76" t="s">
        <v>13</v>
      </c>
      <c r="C76">
        <v>2021</v>
      </c>
      <c r="D76">
        <v>619</v>
      </c>
      <c r="E76" s="3">
        <v>9975.2998129155494</v>
      </c>
      <c r="F76" s="3">
        <v>4420.8408121635402</v>
      </c>
      <c r="G76" s="2">
        <v>4.3591554378262796</v>
      </c>
      <c r="H76" s="7">
        <f>Table1[[#This Row],[Sales]]-Table1[[#This Row],[Cost]]</f>
        <v>5554.4590007520092</v>
      </c>
      <c r="I76" s="9">
        <f>Table1[[#This Row],[Profit]]/Table1[[#This Row],[Number of Customers]]</f>
        <v>8.973277868743148</v>
      </c>
      <c r="J76" s="7">
        <f>Table1[[#This Row],[Sales]]-Table1[[#This Row],[Cost]]</f>
        <v>5554.4590007520092</v>
      </c>
    </row>
    <row r="77" spans="1:10">
      <c r="A77" t="s">
        <v>17</v>
      </c>
      <c r="B77" t="s">
        <v>11</v>
      </c>
      <c r="C77">
        <v>2021</v>
      </c>
      <c r="D77">
        <v>192</v>
      </c>
      <c r="E77" s="3">
        <v>5815.3305884041902</v>
      </c>
      <c r="F77" s="3">
        <v>2159.0120127012401</v>
      </c>
      <c r="G77" s="2">
        <v>4.5498419300540096</v>
      </c>
      <c r="H77" s="7">
        <f>Table1[[#This Row],[Sales]]-Table1[[#This Row],[Cost]]</f>
        <v>3656.3185757029501</v>
      </c>
      <c r="I77" s="9">
        <f>Table1[[#This Row],[Profit]]/Table1[[#This Row],[Number of Customers]]</f>
        <v>19.043325915119532</v>
      </c>
      <c r="J77" s="7">
        <f>Table1[[#This Row],[Sales]]-Table1[[#This Row],[Cost]]</f>
        <v>3656.3185757029501</v>
      </c>
    </row>
    <row r="78" spans="1:10">
      <c r="A78" t="s">
        <v>18</v>
      </c>
      <c r="B78" t="s">
        <v>13</v>
      </c>
      <c r="C78">
        <v>2021</v>
      </c>
      <c r="D78">
        <v>781</v>
      </c>
      <c r="E78" s="3">
        <v>7910.0155129855402</v>
      </c>
      <c r="F78" s="3">
        <v>3927.1759922082301</v>
      </c>
      <c r="G78" s="2">
        <v>2.6255692330940801</v>
      </c>
      <c r="H78" s="7">
        <f>Table1[[#This Row],[Sales]]-Table1[[#This Row],[Cost]]</f>
        <v>3982.8395207773101</v>
      </c>
      <c r="I78" s="9">
        <f>Table1[[#This Row],[Profit]]/Table1[[#This Row],[Number of Customers]]</f>
        <v>5.0996664798685147</v>
      </c>
      <c r="J78" s="7">
        <f>Table1[[#This Row],[Sales]]-Table1[[#This Row],[Cost]]</f>
        <v>3982.8395207773101</v>
      </c>
    </row>
    <row r="79" spans="1:10">
      <c r="A79" t="s">
        <v>18</v>
      </c>
      <c r="B79" t="s">
        <v>14</v>
      </c>
      <c r="C79">
        <v>2021</v>
      </c>
      <c r="D79">
        <v>502</v>
      </c>
      <c r="E79" s="3">
        <v>7398.5723095307303</v>
      </c>
      <c r="F79" s="3">
        <v>4852.9174531283697</v>
      </c>
      <c r="G79" s="2">
        <v>3.4127896087079099</v>
      </c>
      <c r="H79" s="7">
        <f>Table1[[#This Row],[Sales]]-Table1[[#This Row],[Cost]]</f>
        <v>2545.6548564023606</v>
      </c>
      <c r="I79" s="9">
        <f>Table1[[#This Row],[Profit]]/Table1[[#This Row],[Number of Customers]]</f>
        <v>5.071025610363268</v>
      </c>
      <c r="J79" s="7">
        <f>Table1[[#This Row],[Sales]]-Table1[[#This Row],[Cost]]</f>
        <v>2545.6548564023606</v>
      </c>
    </row>
    <row r="80" spans="1:10">
      <c r="A80" t="s">
        <v>18</v>
      </c>
      <c r="B80" t="s">
        <v>12</v>
      </c>
      <c r="C80">
        <v>2021</v>
      </c>
      <c r="D80">
        <v>612</v>
      </c>
      <c r="E80" s="3">
        <v>6344.9478780210802</v>
      </c>
      <c r="F80" s="3">
        <v>3335.4350771904101</v>
      </c>
      <c r="G80" s="2">
        <v>4.3925123818675296</v>
      </c>
      <c r="H80" s="7">
        <f>Table1[[#This Row],[Sales]]-Table1[[#This Row],[Cost]]</f>
        <v>3009.5128008306701</v>
      </c>
      <c r="I80" s="9">
        <f>Table1[[#This Row],[Profit]]/Table1[[#This Row],[Number of Customers]]</f>
        <v>4.9175045765207024</v>
      </c>
      <c r="J80" s="7">
        <f>Table1[[#This Row],[Sales]]-Table1[[#This Row],[Cost]]</f>
        <v>3009.5128008306701</v>
      </c>
    </row>
    <row r="81" spans="1:10">
      <c r="A81" t="s">
        <v>18</v>
      </c>
      <c r="B81" t="s">
        <v>11</v>
      </c>
      <c r="C81">
        <v>2021</v>
      </c>
      <c r="D81">
        <v>145</v>
      </c>
      <c r="E81" s="3">
        <v>2815.5741609721199</v>
      </c>
      <c r="F81" s="3">
        <v>709.87236418203099</v>
      </c>
      <c r="G81" s="2">
        <v>4.6424960141612104</v>
      </c>
      <c r="H81" s="7">
        <f>Table1[[#This Row],[Sales]]-Table1[[#This Row],[Cost]]</f>
        <v>2105.7017967900888</v>
      </c>
      <c r="I81" s="9">
        <f>Table1[[#This Row],[Profit]]/Table1[[#This Row],[Number of Customers]]</f>
        <v>14.522081357173025</v>
      </c>
      <c r="J81" s="7">
        <f>Table1[[#This Row],[Sales]]-Table1[[#This Row],[Cost]]</f>
        <v>2105.7017967900888</v>
      </c>
    </row>
    <row r="82" spans="1:10">
      <c r="A82" t="s">
        <v>10</v>
      </c>
      <c r="B82" t="s">
        <v>14</v>
      </c>
      <c r="C82">
        <v>2022</v>
      </c>
      <c r="D82">
        <v>862</v>
      </c>
      <c r="E82" s="3">
        <v>5330.3085465066297</v>
      </c>
      <c r="F82" s="3">
        <v>2327.12263199381</v>
      </c>
      <c r="G82" s="2">
        <v>1.7452835179764801</v>
      </c>
      <c r="H82" s="7">
        <f>Table1[[#This Row],[Sales]]-Table1[[#This Row],[Cost]]</f>
        <v>3003.1859145128196</v>
      </c>
      <c r="I82" s="9">
        <f>Table1[[#This Row],[Profit]]/Table1[[#This Row],[Number of Customers]]</f>
        <v>3.4839743787851738</v>
      </c>
      <c r="J82" s="7">
        <f>Table1[[#This Row],[Sales]]-Table1[[#This Row],[Cost]]</f>
        <v>3003.1859145128196</v>
      </c>
    </row>
    <row r="83" spans="1:10">
      <c r="A83" t="s">
        <v>10</v>
      </c>
      <c r="B83" t="s">
        <v>11</v>
      </c>
      <c r="C83">
        <v>2022</v>
      </c>
      <c r="D83">
        <v>863</v>
      </c>
      <c r="E83" s="3">
        <v>7484.6445525231802</v>
      </c>
      <c r="F83" s="3">
        <v>4595.3505360167401</v>
      </c>
      <c r="G83" s="2">
        <v>2.8628004892752501</v>
      </c>
      <c r="H83" s="7">
        <f>Table1[[#This Row],[Sales]]-Table1[[#This Row],[Cost]]</f>
        <v>2889.2940165064401</v>
      </c>
      <c r="I83" s="9">
        <f>Table1[[#This Row],[Profit]]/Table1[[#This Row],[Number of Customers]]</f>
        <v>3.3479652566702667</v>
      </c>
      <c r="J83" s="7">
        <f>Table1[[#This Row],[Sales]]-Table1[[#This Row],[Cost]]</f>
        <v>2889.2940165064401</v>
      </c>
    </row>
    <row r="84" spans="1:10">
      <c r="A84" t="s">
        <v>10</v>
      </c>
      <c r="B84" t="s">
        <v>12</v>
      </c>
      <c r="C84">
        <v>2022</v>
      </c>
      <c r="D84">
        <v>174</v>
      </c>
      <c r="E84" s="3">
        <v>5829.3158138859899</v>
      </c>
      <c r="F84" s="3">
        <v>2271.1847564807399</v>
      </c>
      <c r="G84" s="2">
        <v>3.4148861269205502</v>
      </c>
      <c r="H84" s="7">
        <f>Table1[[#This Row],[Sales]]-Table1[[#This Row],[Cost]]</f>
        <v>3558.13105740525</v>
      </c>
      <c r="I84" s="9">
        <f>Table1[[#This Row],[Profit]]/Table1[[#This Row],[Number of Customers]]</f>
        <v>20.449029065547414</v>
      </c>
      <c r="J84" s="7">
        <f>Table1[[#This Row],[Sales]]-Table1[[#This Row],[Cost]]</f>
        <v>3558.13105740525</v>
      </c>
    </row>
    <row r="85" spans="1:10">
      <c r="A85" t="s">
        <v>10</v>
      </c>
      <c r="B85" t="s">
        <v>13</v>
      </c>
      <c r="C85">
        <v>2022</v>
      </c>
      <c r="D85">
        <v>402</v>
      </c>
      <c r="E85" s="3">
        <v>1023.35521945281</v>
      </c>
      <c r="F85" s="3">
        <v>586.36950604012395</v>
      </c>
      <c r="G85" s="2">
        <v>3.4315775751770299</v>
      </c>
      <c r="H85" s="7">
        <f>Table1[[#This Row],[Sales]]-Table1[[#This Row],[Cost]]</f>
        <v>436.9857134126861</v>
      </c>
      <c r="I85" s="9">
        <f>Table1[[#This Row],[Profit]]/Table1[[#This Row],[Number of Customers]]</f>
        <v>1.0870291378425028</v>
      </c>
      <c r="J85" s="7">
        <f>Table1[[#This Row],[Sales]]-Table1[[#This Row],[Cost]]</f>
        <v>436.9857134126861</v>
      </c>
    </row>
    <row r="86" spans="1:10">
      <c r="A86" t="s">
        <v>15</v>
      </c>
      <c r="B86" t="s">
        <v>13</v>
      </c>
      <c r="C86">
        <v>2022</v>
      </c>
      <c r="D86">
        <v>546</v>
      </c>
      <c r="E86" s="3">
        <v>4574.4744925367404</v>
      </c>
      <c r="F86" s="3">
        <v>2477.03691248824</v>
      </c>
      <c r="G86" s="2">
        <v>2.2458926845310199</v>
      </c>
      <c r="H86" s="7">
        <f>Table1[[#This Row],[Sales]]-Table1[[#This Row],[Cost]]</f>
        <v>2097.4375800485004</v>
      </c>
      <c r="I86" s="9">
        <f>Table1[[#This Row],[Profit]]/Table1[[#This Row],[Number of Customers]]</f>
        <v>3.8414607693195979</v>
      </c>
      <c r="J86" s="7">
        <f>Table1[[#This Row],[Sales]]-Table1[[#This Row],[Cost]]</f>
        <v>2097.4375800485004</v>
      </c>
    </row>
    <row r="87" spans="1:10">
      <c r="A87" t="s">
        <v>15</v>
      </c>
      <c r="B87" t="s">
        <v>12</v>
      </c>
      <c r="C87">
        <v>2022</v>
      </c>
      <c r="D87">
        <v>434</v>
      </c>
      <c r="E87" s="3">
        <v>8566.3898729013799</v>
      </c>
      <c r="F87" s="3">
        <v>4025.265485765</v>
      </c>
      <c r="G87" s="2">
        <v>3.06069472962725</v>
      </c>
      <c r="H87" s="7">
        <f>Table1[[#This Row],[Sales]]-Table1[[#This Row],[Cost]]</f>
        <v>4541.1243871363804</v>
      </c>
      <c r="I87" s="9">
        <f>Table1[[#This Row],[Profit]]/Table1[[#This Row],[Number of Customers]]</f>
        <v>10.46342024685802</v>
      </c>
      <c r="J87" s="7">
        <f>Table1[[#This Row],[Sales]]-Table1[[#This Row],[Cost]]</f>
        <v>4541.1243871363804</v>
      </c>
    </row>
    <row r="88" spans="1:10">
      <c r="A88" t="s">
        <v>15</v>
      </c>
      <c r="B88" t="s">
        <v>11</v>
      </c>
      <c r="C88">
        <v>2022</v>
      </c>
      <c r="D88">
        <v>180</v>
      </c>
      <c r="E88" s="3">
        <v>5265.7294728750003</v>
      </c>
      <c r="F88" s="3">
        <v>2453.4546976565198</v>
      </c>
      <c r="G88" s="2">
        <v>3.14027887573463</v>
      </c>
      <c r="H88" s="7">
        <f>Table1[[#This Row],[Sales]]-Table1[[#This Row],[Cost]]</f>
        <v>2812.2747752184805</v>
      </c>
      <c r="I88" s="9">
        <f>Table1[[#This Row],[Profit]]/Table1[[#This Row],[Number of Customers]]</f>
        <v>15.62374875121378</v>
      </c>
      <c r="J88" s="7">
        <f>Table1[[#This Row],[Sales]]-Table1[[#This Row],[Cost]]</f>
        <v>2812.2747752184805</v>
      </c>
    </row>
    <row r="89" spans="1:10">
      <c r="A89" t="s">
        <v>15</v>
      </c>
      <c r="B89" t="s">
        <v>14</v>
      </c>
      <c r="C89">
        <v>2022</v>
      </c>
      <c r="D89">
        <v>949</v>
      </c>
      <c r="E89" s="3">
        <v>8599.9660537026502</v>
      </c>
      <c r="F89" s="3">
        <v>2733.4637183889799</v>
      </c>
      <c r="G89" s="2">
        <v>4.65099785151651</v>
      </c>
      <c r="H89" s="7">
        <f>Table1[[#This Row],[Sales]]-Table1[[#This Row],[Cost]]</f>
        <v>5866.5023353136703</v>
      </c>
      <c r="I89" s="9">
        <f>Table1[[#This Row],[Profit]]/Table1[[#This Row],[Number of Customers]]</f>
        <v>6.1817727453252589</v>
      </c>
      <c r="J89" s="7">
        <f>Table1[[#This Row],[Sales]]-Table1[[#This Row],[Cost]]</f>
        <v>5866.5023353136703</v>
      </c>
    </row>
    <row r="90" spans="1:10">
      <c r="A90" t="s">
        <v>16</v>
      </c>
      <c r="B90" t="s">
        <v>11</v>
      </c>
      <c r="C90">
        <v>2022</v>
      </c>
      <c r="D90">
        <v>851</v>
      </c>
      <c r="E90" s="3">
        <v>5390.2882072786397</v>
      </c>
      <c r="F90" s="3">
        <v>2409.4089338034501</v>
      </c>
      <c r="G90" s="2">
        <v>1.4119259173252601</v>
      </c>
      <c r="H90" s="7">
        <f>Table1[[#This Row],[Sales]]-Table1[[#This Row],[Cost]]</f>
        <v>2980.8792734751896</v>
      </c>
      <c r="I90" s="9">
        <f>Table1[[#This Row],[Profit]]/Table1[[#This Row],[Number of Customers]]</f>
        <v>3.5027958560225496</v>
      </c>
      <c r="J90" s="7">
        <f>Table1[[#This Row],[Sales]]-Table1[[#This Row],[Cost]]</f>
        <v>2980.8792734751896</v>
      </c>
    </row>
    <row r="91" spans="1:10">
      <c r="A91" t="s">
        <v>16</v>
      </c>
      <c r="B91" t="s">
        <v>13</v>
      </c>
      <c r="C91">
        <v>2022</v>
      </c>
      <c r="D91">
        <v>951</v>
      </c>
      <c r="E91" s="3">
        <v>4037.0215048472601</v>
      </c>
      <c r="F91" s="3">
        <v>1807.42221787056</v>
      </c>
      <c r="G91" s="2">
        <v>2.5109037897606701</v>
      </c>
      <c r="H91" s="7">
        <f>Table1[[#This Row],[Sales]]-Table1[[#This Row],[Cost]]</f>
        <v>2229.5992869767001</v>
      </c>
      <c r="I91" s="9">
        <f>Table1[[#This Row],[Profit]]/Table1[[#This Row],[Number of Customers]]</f>
        <v>2.3444787455065197</v>
      </c>
      <c r="J91" s="7">
        <f>Table1[[#This Row],[Sales]]-Table1[[#This Row],[Cost]]</f>
        <v>2229.5992869767001</v>
      </c>
    </row>
    <row r="92" spans="1:10">
      <c r="A92" t="s">
        <v>16</v>
      </c>
      <c r="B92" t="s">
        <v>14</v>
      </c>
      <c r="C92">
        <v>2022</v>
      </c>
      <c r="D92">
        <v>283</v>
      </c>
      <c r="E92" s="3">
        <v>7631.4022785542102</v>
      </c>
      <c r="F92" s="3">
        <v>2796.20602918651</v>
      </c>
      <c r="G92" s="2">
        <v>2.7071556213469901</v>
      </c>
      <c r="H92" s="7">
        <f>Table1[[#This Row],[Sales]]-Table1[[#This Row],[Cost]]</f>
        <v>4835.1962493677001</v>
      </c>
      <c r="I92" s="9">
        <f>Table1[[#This Row],[Profit]]/Table1[[#This Row],[Number of Customers]]</f>
        <v>17.085499114373498</v>
      </c>
      <c r="J92" s="7">
        <f>Table1[[#This Row],[Sales]]-Table1[[#This Row],[Cost]]</f>
        <v>4835.1962493677001</v>
      </c>
    </row>
    <row r="93" spans="1:10">
      <c r="A93" t="s">
        <v>16</v>
      </c>
      <c r="B93" t="s">
        <v>12</v>
      </c>
      <c r="C93">
        <v>2022</v>
      </c>
      <c r="D93">
        <v>549</v>
      </c>
      <c r="E93" s="3">
        <v>3973.1363315282201</v>
      </c>
      <c r="F93" s="3">
        <v>2199.0921444291298</v>
      </c>
      <c r="G93" s="2">
        <v>3.1105909205791402</v>
      </c>
      <c r="H93" s="7">
        <f>Table1[[#This Row],[Sales]]-Table1[[#This Row],[Cost]]</f>
        <v>1774.0441870990903</v>
      </c>
      <c r="I93" s="9">
        <f>Table1[[#This Row],[Profit]]/Table1[[#This Row],[Number of Customers]]</f>
        <v>3.2314101768653738</v>
      </c>
      <c r="J93" s="7">
        <f>Table1[[#This Row],[Sales]]-Table1[[#This Row],[Cost]]</f>
        <v>1774.0441870990903</v>
      </c>
    </row>
    <row r="94" spans="1:10">
      <c r="A94" t="s">
        <v>17</v>
      </c>
      <c r="B94" t="s">
        <v>12</v>
      </c>
      <c r="C94">
        <v>2022</v>
      </c>
      <c r="D94">
        <v>294</v>
      </c>
      <c r="E94" s="3">
        <v>5416.7390133290601</v>
      </c>
      <c r="F94" s="3">
        <v>3023.0253699837499</v>
      </c>
      <c r="G94" s="2">
        <v>3.0220315164241298</v>
      </c>
      <c r="H94" s="7">
        <f>Table1[[#This Row],[Sales]]-Table1[[#This Row],[Cost]]</f>
        <v>2393.7136433453102</v>
      </c>
      <c r="I94" s="9">
        <f>Table1[[#This Row],[Profit]]/Table1[[#This Row],[Number of Customers]]</f>
        <v>8.1418831406303074</v>
      </c>
      <c r="J94" s="7">
        <f>Table1[[#This Row],[Sales]]-Table1[[#This Row],[Cost]]</f>
        <v>2393.7136433453102</v>
      </c>
    </row>
    <row r="95" spans="1:10">
      <c r="A95" t="s">
        <v>17</v>
      </c>
      <c r="B95" t="s">
        <v>11</v>
      </c>
      <c r="C95">
        <v>2022</v>
      </c>
      <c r="D95">
        <v>771</v>
      </c>
      <c r="E95" s="3">
        <v>5289.5753571376999</v>
      </c>
      <c r="F95" s="3">
        <v>1659.2101500557601</v>
      </c>
      <c r="G95" s="2">
        <v>3.2268863391334599</v>
      </c>
      <c r="H95" s="7">
        <f>Table1[[#This Row],[Sales]]-Table1[[#This Row],[Cost]]</f>
        <v>3630.3652070819398</v>
      </c>
      <c r="I95" s="9">
        <f>Table1[[#This Row],[Profit]]/Table1[[#This Row],[Number of Customers]]</f>
        <v>4.7086448859687939</v>
      </c>
      <c r="J95" s="7">
        <f>Table1[[#This Row],[Sales]]-Table1[[#This Row],[Cost]]</f>
        <v>3630.3652070819398</v>
      </c>
    </row>
    <row r="96" spans="1:10">
      <c r="A96" t="s">
        <v>17</v>
      </c>
      <c r="B96" t="s">
        <v>13</v>
      </c>
      <c r="C96">
        <v>2022</v>
      </c>
      <c r="D96">
        <v>999</v>
      </c>
      <c r="E96" s="3">
        <v>9069.4923667661806</v>
      </c>
      <c r="F96" s="3">
        <v>3668.4064018164299</v>
      </c>
      <c r="G96" s="2">
        <v>4.46797504004609</v>
      </c>
      <c r="H96" s="7">
        <f>Table1[[#This Row],[Sales]]-Table1[[#This Row],[Cost]]</f>
        <v>5401.0859649497506</v>
      </c>
      <c r="I96" s="9">
        <f>Table1[[#This Row],[Profit]]/Table1[[#This Row],[Number of Customers]]</f>
        <v>5.4064924574071576</v>
      </c>
      <c r="J96" s="7">
        <f>Table1[[#This Row],[Sales]]-Table1[[#This Row],[Cost]]</f>
        <v>5401.0859649497506</v>
      </c>
    </row>
    <row r="97" spans="1:10">
      <c r="A97" t="s">
        <v>17</v>
      </c>
      <c r="B97" t="s">
        <v>14</v>
      </c>
      <c r="C97">
        <v>2022</v>
      </c>
      <c r="D97">
        <v>282</v>
      </c>
      <c r="E97" s="3">
        <v>8580.8263176836299</v>
      </c>
      <c r="F97" s="3">
        <v>3676.8850179364299</v>
      </c>
      <c r="G97" s="2">
        <v>4.5897216392755302</v>
      </c>
      <c r="H97" s="7">
        <f>Table1[[#This Row],[Sales]]-Table1[[#This Row],[Cost]]</f>
        <v>4903.9412997472</v>
      </c>
      <c r="I97" s="9">
        <f>Table1[[#This Row],[Profit]]/Table1[[#This Row],[Number of Customers]]</f>
        <v>17.389862765060993</v>
      </c>
      <c r="J97" s="7">
        <f>Table1[[#This Row],[Sales]]-Table1[[#This Row],[Cost]]</f>
        <v>4903.9412997472</v>
      </c>
    </row>
    <row r="98" spans="1:10">
      <c r="A98" t="s">
        <v>18</v>
      </c>
      <c r="B98" t="s">
        <v>12</v>
      </c>
      <c r="C98">
        <v>2022</v>
      </c>
      <c r="D98">
        <v>744</v>
      </c>
      <c r="E98" s="3">
        <v>4323.0743335890602</v>
      </c>
      <c r="F98" s="3">
        <v>2531.6932054896802</v>
      </c>
      <c r="G98" s="2">
        <v>1.49110755865083</v>
      </c>
      <c r="H98" s="7">
        <f>Table1[[#This Row],[Sales]]-Table1[[#This Row],[Cost]]</f>
        <v>1791.38112809938</v>
      </c>
      <c r="I98" s="9">
        <f>Table1[[#This Row],[Profit]]/Table1[[#This Row],[Number of Customers]]</f>
        <v>2.4077703334669085</v>
      </c>
      <c r="J98" s="7">
        <f>Table1[[#This Row],[Sales]]-Table1[[#This Row],[Cost]]</f>
        <v>1791.38112809938</v>
      </c>
    </row>
    <row r="99" spans="1:10">
      <c r="A99" t="s">
        <v>18</v>
      </c>
      <c r="B99" t="s">
        <v>13</v>
      </c>
      <c r="C99">
        <v>2022</v>
      </c>
      <c r="D99">
        <v>928</v>
      </c>
      <c r="E99" s="3">
        <v>1785.6116163070701</v>
      </c>
      <c r="F99" s="3">
        <v>448.37838354852101</v>
      </c>
      <c r="G99" s="2">
        <v>2.29596024442719</v>
      </c>
      <c r="H99" s="7">
        <f>Table1[[#This Row],[Sales]]-Table1[[#This Row],[Cost]]</f>
        <v>1337.2332327585491</v>
      </c>
      <c r="I99" s="9">
        <f>Table1[[#This Row],[Profit]]/Table1[[#This Row],[Number of Customers]]</f>
        <v>1.4409840870242987</v>
      </c>
      <c r="J99" s="7">
        <f>Table1[[#This Row],[Sales]]-Table1[[#This Row],[Cost]]</f>
        <v>1337.2332327585491</v>
      </c>
    </row>
    <row r="100" spans="1:10">
      <c r="A100" t="s">
        <v>18</v>
      </c>
      <c r="B100" t="s">
        <v>11</v>
      </c>
      <c r="C100">
        <v>2022</v>
      </c>
      <c r="D100">
        <v>645</v>
      </c>
      <c r="E100" s="3">
        <v>7161.1439309184998</v>
      </c>
      <c r="F100" s="3">
        <v>4441.4833711136898</v>
      </c>
      <c r="G100" s="2">
        <v>3.4990450841729999</v>
      </c>
      <c r="H100" s="7">
        <f>Table1[[#This Row],[Sales]]-Table1[[#This Row],[Cost]]</f>
        <v>2719.66055980481</v>
      </c>
      <c r="I100" s="9">
        <f>Table1[[#This Row],[Profit]]/Table1[[#This Row],[Number of Customers]]</f>
        <v>4.2165279996973801</v>
      </c>
      <c r="J100" s="7">
        <f>Table1[[#This Row],[Sales]]-Table1[[#This Row],[Cost]]</f>
        <v>2719.66055980481</v>
      </c>
    </row>
    <row r="101" spans="1:10">
      <c r="A101" t="s">
        <v>18</v>
      </c>
      <c r="B101" t="s">
        <v>14</v>
      </c>
      <c r="C101">
        <v>2022</v>
      </c>
      <c r="D101">
        <v>888</v>
      </c>
      <c r="E101" s="3">
        <v>2795.5623460448701</v>
      </c>
      <c r="F101" s="3">
        <v>753.56646624468101</v>
      </c>
      <c r="G101" s="2">
        <v>4.22740059585034</v>
      </c>
      <c r="H101" s="7">
        <f>Table1[[#This Row],[Sales]]-Table1[[#This Row],[Cost]]</f>
        <v>2041.995879800189</v>
      </c>
      <c r="I101" s="9">
        <f>Table1[[#This Row],[Profit]]/Table1[[#This Row],[Number of Customers]]</f>
        <v>2.2995449096848977</v>
      </c>
      <c r="J101" s="7">
        <f>Table1[[#This Row],[Sales]]-Table1[[#This Row],[Cost]]</f>
        <v>2041.995879800189</v>
      </c>
    </row>
  </sheetData>
  <conditionalFormatting sqref="D2:D101">
    <cfRule type="cellIs" dxfId="7" priority="1" operator="greaterThan">
      <formula>500</formula>
    </cfRule>
  </conditionalFormatting>
  <conditionalFormatting sqref="G2:G101">
    <cfRule type="cellIs" dxfId="6" priority="2" operator="less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2452-E574-4A3B-A860-5E8A895BA3C5}">
  <dimension ref="B2:D5"/>
  <sheetViews>
    <sheetView showGridLines="0" workbookViewId="0">
      <selection activeCell="C4" sqref="C4"/>
    </sheetView>
  </sheetViews>
  <sheetFormatPr defaultRowHeight="15"/>
  <cols>
    <col min="2" max="2" width="3.85546875" customWidth="1"/>
    <col min="3" max="3" width="5.42578125" bestFit="1" customWidth="1"/>
    <col min="4" max="4" width="10.140625" bestFit="1" customWidth="1"/>
  </cols>
  <sheetData>
    <row r="2" spans="2:4">
      <c r="B2" s="5"/>
    </row>
    <row r="4" spans="2:4">
      <c r="C4" s="6" t="s">
        <v>0</v>
      </c>
      <c r="D4" t="s">
        <v>10</v>
      </c>
    </row>
    <row r="5" spans="2:4">
      <c r="C5" s="6" t="s">
        <v>2</v>
      </c>
      <c r="D5" s="4">
        <v>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7CB4-AE26-40DA-B16C-4ED4781E6E5B}">
  <dimension ref="B2:D11"/>
  <sheetViews>
    <sheetView showGridLines="0" workbookViewId="0">
      <selection activeCell="E17" sqref="E17"/>
    </sheetView>
  </sheetViews>
  <sheetFormatPr defaultRowHeight="15"/>
  <cols>
    <col min="2" max="2" width="3.85546875" customWidth="1"/>
    <col min="3" max="3" width="17.28515625" bestFit="1" customWidth="1"/>
    <col min="4" max="4" width="12.28515625" bestFit="1" customWidth="1"/>
  </cols>
  <sheetData>
    <row r="2" spans="2:4">
      <c r="B2" s="5"/>
    </row>
    <row r="4" spans="2:4">
      <c r="C4" s="6" t="s">
        <v>2</v>
      </c>
      <c r="D4" s="4">
        <v>2019</v>
      </c>
    </row>
    <row r="6" spans="2:4">
      <c r="C6" s="6" t="s">
        <v>1</v>
      </c>
      <c r="D6" t="s">
        <v>19</v>
      </c>
    </row>
    <row r="7" spans="2:4">
      <c r="C7" t="s">
        <v>12</v>
      </c>
      <c r="D7" s="7">
        <v>34509.986522694831</v>
      </c>
    </row>
    <row r="8" spans="2:4">
      <c r="C8" t="s">
        <v>11</v>
      </c>
      <c r="D8" s="7">
        <v>24336.059462226549</v>
      </c>
    </row>
    <row r="9" spans="2:4">
      <c r="C9" t="s">
        <v>13</v>
      </c>
      <c r="D9" s="7">
        <v>20090.723949959807</v>
      </c>
    </row>
    <row r="10" spans="2:4">
      <c r="C10" t="s">
        <v>14</v>
      </c>
      <c r="D10" s="7">
        <v>17776.63967177803</v>
      </c>
    </row>
    <row r="11" spans="2:4">
      <c r="C11" t="s">
        <v>20</v>
      </c>
      <c r="D11" s="7">
        <v>96713.409606659217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FC1D-1C42-4B07-B657-463E8D1408F2}">
  <dimension ref="B2:D10"/>
  <sheetViews>
    <sheetView showGridLines="0" workbookViewId="0">
      <selection activeCell="D5" sqref="D5"/>
    </sheetView>
  </sheetViews>
  <sheetFormatPr defaultRowHeight="15"/>
  <cols>
    <col min="2" max="2" width="3.85546875" customWidth="1"/>
    <col min="3" max="3" width="11.140625" bestFit="1" customWidth="1"/>
    <col min="4" max="4" width="16.140625" bestFit="1" customWidth="1"/>
  </cols>
  <sheetData>
    <row r="2" spans="2:4">
      <c r="B2" s="5"/>
    </row>
    <row r="4" spans="2:4">
      <c r="C4" s="6" t="s">
        <v>0</v>
      </c>
      <c r="D4" t="s">
        <v>21</v>
      </c>
    </row>
    <row r="5" spans="2:4">
      <c r="C5" t="s">
        <v>10</v>
      </c>
      <c r="D5" s="8">
        <v>2.8878425685942073</v>
      </c>
    </row>
    <row r="6" spans="2:4">
      <c r="C6" t="s">
        <v>16</v>
      </c>
      <c r="D6" s="8">
        <v>2.9157738179700199</v>
      </c>
    </row>
    <row r="7" spans="2:4">
      <c r="C7" t="s">
        <v>15</v>
      </c>
      <c r="D7" s="8">
        <v>2.9324504152724726</v>
      </c>
    </row>
    <row r="8" spans="2:4">
      <c r="C8" t="s">
        <v>17</v>
      </c>
      <c r="D8" s="8">
        <v>3.241809879550881</v>
      </c>
    </row>
    <row r="9" spans="2:4">
      <c r="C9" t="s">
        <v>18</v>
      </c>
      <c r="D9" s="8">
        <v>3.5778208192904186</v>
      </c>
    </row>
    <row r="10" spans="2:4">
      <c r="C10" t="s">
        <v>20</v>
      </c>
      <c r="D10" s="8">
        <v>3.1111395001355997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A91B-6D00-4CA4-86DB-32514678CC35}">
  <dimension ref="B2:D10"/>
  <sheetViews>
    <sheetView showGridLines="0" workbookViewId="0">
      <selection activeCell="D7" sqref="D7"/>
    </sheetView>
  </sheetViews>
  <sheetFormatPr defaultRowHeight="15"/>
  <cols>
    <col min="2" max="2" width="3.85546875" customWidth="1"/>
    <col min="3" max="3" width="11.140625" bestFit="1" customWidth="1"/>
    <col min="4" max="4" width="11.5703125" bestFit="1" customWidth="1"/>
  </cols>
  <sheetData>
    <row r="2" spans="2:4">
      <c r="B2" s="5"/>
      <c r="C2" s="6" t="s">
        <v>0</v>
      </c>
      <c r="D2" t="s">
        <v>10</v>
      </c>
    </row>
    <row r="4" spans="2:4">
      <c r="C4" s="6" t="s">
        <v>2</v>
      </c>
      <c r="D4" t="s">
        <v>22</v>
      </c>
    </row>
    <row r="5" spans="2:4">
      <c r="C5">
        <v>2018</v>
      </c>
      <c r="D5" s="7">
        <v>13885.834608323568</v>
      </c>
    </row>
    <row r="6" spans="2:4">
      <c r="C6">
        <v>2019</v>
      </c>
      <c r="D6" s="7">
        <v>7342.6954969071703</v>
      </c>
    </row>
    <row r="7" spans="2:4">
      <c r="C7">
        <v>2020</v>
      </c>
      <c r="D7" s="7">
        <v>7585.7876222160794</v>
      </c>
    </row>
    <row r="8" spans="2:4">
      <c r="C8">
        <v>2021</v>
      </c>
      <c r="D8" s="7">
        <v>9624.760879940286</v>
      </c>
    </row>
    <row r="9" spans="2:4">
      <c r="C9">
        <v>2022</v>
      </c>
      <c r="D9" s="7">
        <v>9780.0274305314142</v>
      </c>
    </row>
    <row r="10" spans="2:4">
      <c r="C10" t="s">
        <v>20</v>
      </c>
      <c r="D10" s="7">
        <v>48219.106037918522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0D9B-FA31-4172-B3A3-96261F3E22D6}">
  <dimension ref="B2:I11"/>
  <sheetViews>
    <sheetView showGridLines="0" topLeftCell="G1" workbookViewId="0">
      <selection activeCell="L20" sqref="L20:Q21"/>
    </sheetView>
  </sheetViews>
  <sheetFormatPr defaultRowHeight="15"/>
  <cols>
    <col min="2" max="2" width="3.85546875" customWidth="1"/>
    <col min="3" max="3" width="11.5703125" bestFit="1" customWidth="1"/>
    <col min="4" max="4" width="8.7109375" bestFit="1" customWidth="1"/>
    <col min="5" max="8" width="7.7109375" bestFit="1" customWidth="1"/>
    <col min="9" max="9" width="11.140625" bestFit="1" customWidth="1"/>
  </cols>
  <sheetData>
    <row r="2" spans="2:9">
      <c r="B2" s="5"/>
    </row>
    <row r="4" spans="2:9">
      <c r="C4" s="6" t="s">
        <v>22</v>
      </c>
      <c r="D4" s="6" t="s">
        <v>0</v>
      </c>
    </row>
    <row r="5" spans="2:9">
      <c r="C5" s="6" t="s">
        <v>2</v>
      </c>
      <c r="D5" t="s">
        <v>10</v>
      </c>
      <c r="E5" t="s">
        <v>15</v>
      </c>
      <c r="F5" t="s">
        <v>16</v>
      </c>
      <c r="G5" t="s">
        <v>17</v>
      </c>
      <c r="H5" t="s">
        <v>18</v>
      </c>
      <c r="I5" t="s">
        <v>20</v>
      </c>
    </row>
    <row r="6" spans="2:9">
      <c r="C6">
        <v>2018</v>
      </c>
      <c r="D6" s="7">
        <v>13885.834608323568</v>
      </c>
      <c r="E6" s="7">
        <v>6486.116718295415</v>
      </c>
      <c r="F6" s="7">
        <v>15114.750208141848</v>
      </c>
      <c r="G6" s="7">
        <v>13106.14393047386</v>
      </c>
      <c r="H6" s="7">
        <v>11062.437478134611</v>
      </c>
      <c r="I6" s="7">
        <v>59655.282943369304</v>
      </c>
    </row>
    <row r="7" spans="2:9">
      <c r="C7">
        <v>2019</v>
      </c>
      <c r="D7" s="7">
        <v>7342.6954969071703</v>
      </c>
      <c r="E7" s="7">
        <v>9326.8247483640771</v>
      </c>
      <c r="F7" s="7">
        <v>9021.8542131882168</v>
      </c>
      <c r="G7" s="7">
        <v>8028.4067957118441</v>
      </c>
      <c r="H7" s="7">
        <v>9849.3805758771905</v>
      </c>
      <c r="I7" s="7">
        <v>43569.161830048499</v>
      </c>
    </row>
    <row r="8" spans="2:9">
      <c r="C8">
        <v>2020</v>
      </c>
      <c r="D8" s="7">
        <v>7585.7876222160785</v>
      </c>
      <c r="E8" s="7">
        <v>7385.8209926318705</v>
      </c>
      <c r="F8" s="7">
        <v>7380.1166326573893</v>
      </c>
      <c r="G8" s="7">
        <v>12878.468254699519</v>
      </c>
      <c r="H8" s="7">
        <v>11315.05924517874</v>
      </c>
      <c r="I8" s="7">
        <v>46545.252747383594</v>
      </c>
    </row>
    <row r="9" spans="2:9">
      <c r="C9">
        <v>2021</v>
      </c>
      <c r="D9" s="7">
        <v>9624.760879940286</v>
      </c>
      <c r="E9" s="7">
        <v>8903.8812488425901</v>
      </c>
      <c r="F9" s="7">
        <v>10969.167324120679</v>
      </c>
      <c r="G9" s="7">
        <v>11883.526083606688</v>
      </c>
      <c r="H9" s="7">
        <v>12825.40088670904</v>
      </c>
      <c r="I9" s="7">
        <v>54206.736423219285</v>
      </c>
    </row>
    <row r="10" spans="2:9">
      <c r="C10">
        <v>2022</v>
      </c>
      <c r="D10" s="7">
        <v>9780.0274305314142</v>
      </c>
      <c r="E10" s="7">
        <v>11689.22081429874</v>
      </c>
      <c r="F10" s="7">
        <v>9212.1293252896503</v>
      </c>
      <c r="G10" s="7">
        <v>12027.526939792369</v>
      </c>
      <c r="H10" s="7">
        <v>8175.1214263965712</v>
      </c>
      <c r="I10" s="7">
        <v>50884.025936308746</v>
      </c>
    </row>
    <row r="11" spans="2:9">
      <c r="C11" t="s">
        <v>20</v>
      </c>
      <c r="D11" s="7">
        <v>48219.106037918522</v>
      </c>
      <c r="E11" s="7">
        <v>43791.86452243269</v>
      </c>
      <c r="F11" s="7">
        <v>51698.017703397782</v>
      </c>
      <c r="G11" s="7">
        <v>57924.07200428428</v>
      </c>
      <c r="H11" s="7">
        <v>53227.399612296154</v>
      </c>
      <c r="I11" s="7">
        <v>254860.45988032944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860A-0F34-4EB2-ABEC-77627B9980DB}">
  <dimension ref="B2:E10"/>
  <sheetViews>
    <sheetView showGridLines="0" workbookViewId="0"/>
  </sheetViews>
  <sheetFormatPr defaultRowHeight="15"/>
  <cols>
    <col min="2" max="2" width="3.85546875" customWidth="1"/>
    <col min="3" max="3" width="11.140625" bestFit="1" customWidth="1"/>
    <col min="4" max="4" width="12.28515625" bestFit="1" customWidth="1"/>
    <col min="5" max="5" width="11.5703125" bestFit="1" customWidth="1"/>
  </cols>
  <sheetData>
    <row r="2" spans="2:5">
      <c r="B2" s="5"/>
    </row>
    <row r="4" spans="2:5">
      <c r="C4" s="6" t="s">
        <v>2</v>
      </c>
      <c r="D4" t="s">
        <v>19</v>
      </c>
      <c r="E4" t="s">
        <v>22</v>
      </c>
    </row>
    <row r="5" spans="2:5">
      <c r="C5">
        <v>2018</v>
      </c>
      <c r="D5" s="7">
        <v>119878.77838299847</v>
      </c>
      <c r="E5" s="7">
        <v>59655.28294336929</v>
      </c>
    </row>
    <row r="6" spans="2:5">
      <c r="C6">
        <v>2019</v>
      </c>
      <c r="D6" s="7">
        <v>96713.409606659217</v>
      </c>
      <c r="E6" s="7">
        <v>43569.161830048499</v>
      </c>
    </row>
    <row r="7" spans="2:5">
      <c r="C7">
        <v>2020</v>
      </c>
      <c r="D7" s="7">
        <v>105830.52226643142</v>
      </c>
      <c r="E7" s="7">
        <v>46545.252747383594</v>
      </c>
    </row>
    <row r="8" spans="2:5">
      <c r="C8">
        <v>2021</v>
      </c>
      <c r="D8" s="7">
        <v>115393.14669148678</v>
      </c>
      <c r="E8" s="7">
        <v>54206.736423219299</v>
      </c>
    </row>
    <row r="9" spans="2:5">
      <c r="C9">
        <v>2022</v>
      </c>
      <c r="D9" s="7">
        <v>112128.05762836877</v>
      </c>
      <c r="E9" s="7">
        <v>50884.025936308746</v>
      </c>
    </row>
    <row r="10" spans="2:5">
      <c r="C10" t="s">
        <v>20</v>
      </c>
      <c r="D10" s="7">
        <v>549943.91457594465</v>
      </c>
      <c r="E10" s="7">
        <v>254860.45988032944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A087-DDBB-43FD-AED1-64E430AABF77}">
  <dimension ref="A1:D9"/>
  <sheetViews>
    <sheetView workbookViewId="0">
      <selection activeCell="B2" sqref="B2"/>
    </sheetView>
  </sheetViews>
  <sheetFormatPr defaultRowHeight="15"/>
  <cols>
    <col min="1" max="1" width="11.140625" bestFit="1" customWidth="1"/>
    <col min="2" max="2" width="12.28515625" bestFit="1" customWidth="1"/>
    <col min="3" max="3" width="11.5703125" bestFit="1" customWidth="1"/>
    <col min="4" max="4" width="12.28515625" bestFit="1" customWidth="1"/>
  </cols>
  <sheetData>
    <row r="1" spans="1:4">
      <c r="A1" s="6" t="s">
        <v>2</v>
      </c>
      <c r="B1" s="4">
        <v>2022</v>
      </c>
    </row>
    <row r="3" spans="1:4">
      <c r="A3" s="6" t="s">
        <v>0</v>
      </c>
      <c r="B3" t="s">
        <v>19</v>
      </c>
      <c r="C3" t="s">
        <v>22</v>
      </c>
      <c r="D3" t="s">
        <v>23</v>
      </c>
    </row>
    <row r="4" spans="1:4">
      <c r="A4" t="s">
        <v>10</v>
      </c>
      <c r="B4" s="7">
        <v>19667.624132368608</v>
      </c>
      <c r="C4" s="7">
        <v>9780.0274305314142</v>
      </c>
      <c r="D4" s="7">
        <v>9887.5967018371957</v>
      </c>
    </row>
    <row r="5" spans="1:4">
      <c r="A5" t="s">
        <v>15</v>
      </c>
      <c r="B5" s="7">
        <v>27006.559892015772</v>
      </c>
      <c r="C5" s="7">
        <v>11689.22081429874</v>
      </c>
      <c r="D5" s="7">
        <v>15317.339077717032</v>
      </c>
    </row>
    <row r="6" spans="1:4">
      <c r="A6" t="s">
        <v>16</v>
      </c>
      <c r="B6" s="7">
        <v>21031.848322208331</v>
      </c>
      <c r="C6" s="7">
        <v>9212.1293252896503</v>
      </c>
      <c r="D6" s="7">
        <v>11819.71899691868</v>
      </c>
    </row>
    <row r="7" spans="1:4">
      <c r="A7" t="s">
        <v>17</v>
      </c>
      <c r="B7" s="7">
        <v>28356.633054916572</v>
      </c>
      <c r="C7" s="7">
        <v>12027.526939792371</v>
      </c>
      <c r="D7" s="7">
        <v>16329.106115124201</v>
      </c>
    </row>
    <row r="8" spans="1:4">
      <c r="A8" t="s">
        <v>18</v>
      </c>
      <c r="B8" s="7">
        <v>16065.3922268595</v>
      </c>
      <c r="C8" s="7">
        <v>8175.1214263965721</v>
      </c>
      <c r="D8" s="7">
        <v>7890.2708004629276</v>
      </c>
    </row>
    <row r="9" spans="1:4">
      <c r="A9" t="s">
        <v>20</v>
      </c>
      <c r="B9" s="7">
        <v>112128.05762836878</v>
      </c>
      <c r="C9" s="7">
        <v>50884.025936308746</v>
      </c>
      <c r="D9" s="7">
        <v>61244.031692060031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8C6D-0B13-463E-B5DF-88CE5E01BB34}">
  <dimension ref="B2:D8"/>
  <sheetViews>
    <sheetView showGridLines="0" workbookViewId="0"/>
  </sheetViews>
  <sheetFormatPr defaultRowHeight="15"/>
  <cols>
    <col min="2" max="2" width="3.85546875" customWidth="1"/>
    <col min="3" max="3" width="12.28515625" bestFit="1" customWidth="1"/>
    <col min="4" max="4" width="10.140625" bestFit="1" customWidth="1"/>
  </cols>
  <sheetData>
    <row r="2" spans="2:4">
      <c r="B2" s="5"/>
    </row>
    <row r="4" spans="2:4">
      <c r="C4" s="6" t="s">
        <v>0</v>
      </c>
      <c r="D4" t="s">
        <v>10</v>
      </c>
    </row>
    <row r="5" spans="2:4">
      <c r="C5" s="6" t="s">
        <v>2</v>
      </c>
      <c r="D5" s="4">
        <v>2019</v>
      </c>
    </row>
    <row r="7" spans="2:4">
      <c r="C7" t="s">
        <v>19</v>
      </c>
    </row>
    <row r="8" spans="2:4">
      <c r="C8" s="7">
        <v>14461.510608899502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AE64-62C2-48AD-8E5B-88B080026F2D}">
  <dimension ref="B1:N62"/>
  <sheetViews>
    <sheetView showGridLines="0" workbookViewId="0"/>
  </sheetViews>
  <sheetFormatPr defaultRowHeight="15"/>
  <cols>
    <col min="1" max="1" width="1.85546875" customWidth="1"/>
    <col min="2" max="14" width="11.42578125" customWidth="1"/>
  </cols>
  <sheetData>
    <row r="1" spans="2:14" ht="9.75" customHeight="1"/>
    <row r="2" spans="2:14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4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2:1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2:14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2:14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2:1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2:14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2:14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2:1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2:14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2:14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2:14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2:14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2:14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2:14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2:14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2:14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2:14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2:14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2:14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2:14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2:14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14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2:1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2:1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2:14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2:14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2:14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2:14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2:14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2:14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2:14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2:14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2:14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2:14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2:14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2:14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2:14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51" spans="2:14" ht="24.75" customHeight="1">
      <c r="B51" s="11"/>
      <c r="C51" s="11" t="s">
        <v>24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3" spans="2:14" ht="15" customHeight="1">
      <c r="C53" s="12" t="s">
        <v>1</v>
      </c>
      <c r="D53" s="13" t="s">
        <v>12</v>
      </c>
      <c r="E53" s="13"/>
      <c r="F53" s="12" t="s">
        <v>0</v>
      </c>
      <c r="G53" s="13" t="s">
        <v>16</v>
      </c>
      <c r="H53" s="13"/>
    </row>
    <row r="54" spans="2:14" ht="15" customHeight="1">
      <c r="C54" s="13"/>
      <c r="D54" s="13"/>
      <c r="E54" s="13"/>
      <c r="F54" s="13"/>
      <c r="G54" s="13"/>
      <c r="H54" s="13"/>
    </row>
    <row r="55" spans="2:14" ht="15" customHeight="1">
      <c r="C55" s="12" t="s">
        <v>2</v>
      </c>
      <c r="D55" s="13" t="s">
        <v>25</v>
      </c>
      <c r="E55" s="13"/>
      <c r="F55" s="12" t="s">
        <v>2</v>
      </c>
      <c r="G55" s="13" t="s">
        <v>19</v>
      </c>
      <c r="H55" s="13"/>
    </row>
    <row r="56" spans="2:14" ht="15" customHeight="1">
      <c r="C56" s="13">
        <v>2018</v>
      </c>
      <c r="D56" s="14">
        <v>10.342852765003657</v>
      </c>
      <c r="E56" s="13"/>
      <c r="F56" s="13">
        <v>2018</v>
      </c>
      <c r="G56" s="15">
        <v>28715.67211121165</v>
      </c>
      <c r="H56" s="13"/>
    </row>
    <row r="57" spans="2:14" ht="15" customHeight="1">
      <c r="C57" s="13">
        <v>2019</v>
      </c>
      <c r="D57" s="14">
        <v>6.3124067735395304</v>
      </c>
      <c r="E57" s="13"/>
      <c r="F57" s="13">
        <v>2019</v>
      </c>
      <c r="G57" s="15">
        <v>20654.030743419829</v>
      </c>
      <c r="H57" s="13"/>
    </row>
    <row r="58" spans="2:14" ht="15" customHeight="1">
      <c r="C58" s="13">
        <v>2020</v>
      </c>
      <c r="D58" s="14">
        <v>2.1124194741414999</v>
      </c>
      <c r="E58" s="13"/>
      <c r="F58" s="13">
        <v>2020</v>
      </c>
      <c r="G58" s="15">
        <v>17623.539377086658</v>
      </c>
      <c r="H58" s="13"/>
    </row>
    <row r="59" spans="2:14" ht="15" customHeight="1">
      <c r="C59" s="13">
        <v>2021</v>
      </c>
      <c r="D59" s="14">
        <v>9.7602843937290658</v>
      </c>
      <c r="E59" s="13"/>
      <c r="F59" s="13">
        <v>2021</v>
      </c>
      <c r="G59" s="15">
        <v>20439.189653696092</v>
      </c>
      <c r="H59" s="13"/>
    </row>
    <row r="60" spans="2:14" ht="15" customHeight="1">
      <c r="C60" s="13">
        <v>2022</v>
      </c>
      <c r="D60" s="14">
        <v>8.9387025926736037</v>
      </c>
      <c r="E60" s="13"/>
      <c r="F60" s="13">
        <v>2022</v>
      </c>
      <c r="G60" s="15">
        <v>21031.848322208331</v>
      </c>
      <c r="H60" s="13"/>
    </row>
    <row r="61" spans="2:14" ht="15" customHeight="1">
      <c r="C61" s="13" t="s">
        <v>20</v>
      </c>
      <c r="D61" s="14">
        <v>7.4933331998174717</v>
      </c>
      <c r="E61" s="13"/>
      <c r="F61" s="13" t="s">
        <v>20</v>
      </c>
      <c r="G61" s="15">
        <v>108464.28020762256</v>
      </c>
      <c r="H61" s="13"/>
    </row>
    <row r="62" spans="2:14" ht="15" customHeight="1">
      <c r="C62" s="13"/>
      <c r="D62" s="13"/>
      <c r="E62" s="13"/>
      <c r="F62" s="13"/>
      <c r="G62" s="13"/>
      <c r="H62" s="13"/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D6F31D59601C4CB723861D6BFB0FE4" ma:contentTypeVersion="6" ma:contentTypeDescription="Create a new document." ma:contentTypeScope="" ma:versionID="d94ab1d1c4dc649ab4c31453f2bdb2d2">
  <xsd:schema xmlns:xsd="http://www.w3.org/2001/XMLSchema" xmlns:xs="http://www.w3.org/2001/XMLSchema" xmlns:p="http://schemas.microsoft.com/office/2006/metadata/properties" xmlns:ns3="77810452-1b49-4bad-9dd2-01d785c00cee" targetNamespace="http://schemas.microsoft.com/office/2006/metadata/properties" ma:root="true" ma:fieldsID="cb3e259caf424a75fcf12a3c3f490a77" ns3:_="">
    <xsd:import namespace="77810452-1b49-4bad-9dd2-01d785c00c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10452-1b49-4bad-9dd2-01d785c00ce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810452-1b49-4bad-9dd2-01d785c00cee" xsi:nil="true"/>
  </documentManagement>
</p:properties>
</file>

<file path=customXml/itemProps1.xml><?xml version="1.0" encoding="utf-8"?>
<ds:datastoreItem xmlns:ds="http://schemas.openxmlformats.org/officeDocument/2006/customXml" ds:itemID="{7CC0DC32-AEE0-4D49-9B7F-79528A4D2557}"/>
</file>

<file path=customXml/itemProps2.xml><?xml version="1.0" encoding="utf-8"?>
<ds:datastoreItem xmlns:ds="http://schemas.openxmlformats.org/officeDocument/2006/customXml" ds:itemID="{B06ABA77-B3DF-43D9-ABED-A7C717701CC6}"/>
</file>

<file path=customXml/itemProps3.xml><?xml version="1.0" encoding="utf-8"?>
<ds:datastoreItem xmlns:ds="http://schemas.openxmlformats.org/officeDocument/2006/customXml" ds:itemID="{1203B4CB-7EB6-4167-A46E-47E2BA4E4A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Henry Habib</cp:lastModifiedBy>
  <cp:revision/>
  <dcterms:created xsi:type="dcterms:W3CDTF">2024-02-08T11:45:24Z</dcterms:created>
  <dcterms:modified xsi:type="dcterms:W3CDTF">2024-12-20T12:42:00Z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0x010100FCD6F31D59601C4CB723861D6BFB0FE4</vt:lpwstr>
  </property>
</Properties>
</file>